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3180" windowWidth="30690" windowHeight="16545" tabRatio="736" firstSheet="0" activeTab="2" autoFilterDateGrouping="1"/>
  </bookViews>
  <sheets>
    <sheet xmlns:r="http://schemas.openxmlformats.org/officeDocument/2006/relationships" name="HOLDING_02_2026" sheetId="1" state="visible" r:id="rId1"/>
    <sheet xmlns:r="http://schemas.openxmlformats.org/officeDocument/2006/relationships" name="HOLDING_SOUHRN" sheetId="2" state="visible" r:id="rId2"/>
    <sheet xmlns:r="http://schemas.openxmlformats.org/officeDocument/2006/relationships" name="VZC_01_2026" sheetId="3" state="visible" r:id="rId3"/>
    <sheet xmlns:r="http://schemas.openxmlformats.org/officeDocument/2006/relationships" name="LOUNY_01_2026" sheetId="4" state="visible" r:id="rId4"/>
    <sheet xmlns:r="http://schemas.openxmlformats.org/officeDocument/2006/relationships" name="ÚSTÍ_01_2026" sheetId="5" state="visible" r:id="rId5"/>
    <sheet xmlns:r="http://schemas.openxmlformats.org/officeDocument/2006/relationships" name="VARIABILNÍ_INFO" sheetId="6" state="visible" r:id="rId6"/>
    <sheet xmlns:r="http://schemas.openxmlformats.org/officeDocument/2006/relationships" name="EXPORT_MANAŽERKA" sheetId="7" state="visible" r:id="rId7"/>
    <sheet xmlns:r="http://schemas.openxmlformats.org/officeDocument/2006/relationships" name="NASTAVENÍ_NEXUS" sheetId="8" state="visible" r:id="rId8"/>
    <sheet xmlns:r="http://schemas.openxmlformats.org/officeDocument/2006/relationships" name="KATALOG_POZIC" sheetId="9" state="visible" r:id="rId9"/>
    <sheet xmlns:r="http://schemas.openxmlformats.org/officeDocument/2006/relationships" name="KERA_02_2026" sheetId="10" state="visible" r:id="rId10"/>
    <sheet xmlns:r="http://schemas.openxmlformats.org/officeDocument/2006/relationships" name="KERA_KONTROLA" sheetId="11" state="visible" r:id="rId11"/>
  </sheets>
  <definedNames>
    <definedName name="_xlnm._FilterDatabase" localSheetId="2" hidden="1">'VZC_01_2026'!$A$3:$T$61</definedName>
    <definedName name="_xlnm._FilterDatabase" localSheetId="3" hidden="1">'LOUNY_01_2026'!$A$3:$T$61</definedName>
    <definedName name="_xlnm._FilterDatabase" localSheetId="4" hidden="1">'ÚSTÍ_01_2026'!$A$3:$T$61</definedName>
    <definedName name="_xlnm._FilterDatabase" localSheetId="6" hidden="1">'EXPORT_MANAŽERKA'!$A$4:$J$61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4"/>
    </font>
    <font>
      <name val="Calibri"/>
      <charset val="238"/>
      <family val="2"/>
      <i val="1"/>
      <sz val="10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4"/>
    </font>
    <font>
      <name val="Calibri"/>
      <charset val="238"/>
      <family val="2"/>
      <b val="1"/>
      <sz val="11"/>
    </font>
    <font>
      <name val="Calibri"/>
      <charset val="238"/>
      <family val="2"/>
      <i val="1"/>
      <color rgb="FF666666"/>
      <sz val="11"/>
    </font>
    <font>
      <name val="Calibri"/>
      <charset val="238"/>
      <family val="2"/>
      <b val="1"/>
      <sz val="12"/>
    </font>
    <font>
      <name val="Calibri"/>
      <charset val="238"/>
      <family val="2"/>
      <i val="1"/>
      <sz val="9"/>
    </font>
    <font>
      <name val="Calibri"/>
      <charset val="238"/>
      <family val="2"/>
      <b val="1"/>
      <sz val="9"/>
    </font>
    <font>
      <name val="Calibri"/>
      <charset val="238"/>
      <family val="2"/>
      <b val="1"/>
      <color rgb="FFFFFFFF"/>
      <sz val="10"/>
    </font>
    <font>
      <name val="Calibri"/>
      <charset val="238"/>
      <family val="2"/>
      <b val="1"/>
      <color theme="1"/>
      <sz val="11"/>
      <scheme val="minor"/>
    </font>
    <font>
      <i val="1"/>
      <color rgb="00666666"/>
      <sz val="9"/>
    </font>
    <font>
      <color rgb="000000FF"/>
    </font>
    <font>
      <b val="1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D9D9D9"/>
      </patternFill>
    </fill>
    <fill>
      <patternFill patternType="solid">
        <fgColor rgb="FF538135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6" fillId="0" borderId="0" pivotButton="0" quotePrefix="0" xfId="0"/>
    <xf numFmtId="0" fontId="3" fillId="2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5" fillId="6" borderId="1" pivotButton="0" quotePrefix="0" xfId="0"/>
    <xf numFmtId="0" fontId="8" fillId="0" borderId="0" pivotButton="0" quotePrefix="0" xfId="0"/>
    <xf numFmtId="0" fontId="10" fillId="5" borderId="1" applyAlignment="1" pivotButton="0" quotePrefix="0" xfId="0">
      <alignment horizontal="center" wrapText="1"/>
    </xf>
    <xf numFmtId="9" fontId="0" fillId="4" borderId="1" pivotButton="0" quotePrefix="0" xfId="0"/>
    <xf numFmtId="3" fontId="0" fillId="4" borderId="1" pivotButton="0" quotePrefix="0" xfId="0"/>
    <xf numFmtId="0" fontId="11" fillId="0" borderId="1" pivotButton="0" quotePrefix="0" xfId="0"/>
    <xf numFmtId="0" fontId="1" fillId="2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9" fillId="0" borderId="0" pivotButton="0" quotePrefix="0" xfId="0"/>
    <xf numFmtId="0" fontId="15" fillId="10" borderId="0" pivotButton="0" quotePrefix="0" xfId="0"/>
    <xf numFmtId="0" fontId="16" fillId="0" borderId="0" pivotButton="0" quotePrefix="0" xfId="0"/>
    <xf numFmtId="0" fontId="17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7" fillId="11" borderId="0" pivotButton="0" quotePrefix="0" xfId="0"/>
    <xf numFmtId="0" fontId="1" fillId="7" borderId="0" pivotButton="0" quotePrefix="0" xfId="0"/>
    <xf numFmtId="0" fontId="12" fillId="0" borderId="0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3" fontId="0" fillId="8" borderId="1" pivotButton="0" quotePrefix="0" xfId="0"/>
    <xf numFmtId="3" fontId="13" fillId="9" borderId="1" pivotButton="0" quotePrefix="0" xfId="0"/>
    <xf numFmtId="0" fontId="14" fillId="0" borderId="0" pivotButton="0" quotePrefix="0" xfId="0"/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Os.ohod. není fixní. Viz buňka M11 a list Kontrola.</t>
      </text>
    </comment>
    <comment ref="M11" authorId="0" shapeId="0">
      <text>
        <t>Automatický výpočet z obratu v U11: 25 % z částky nad 72 000 Kč.</t>
      </text>
    </comment>
    <comment ref="U11" authorId="0" shapeId="0">
      <text>
        <t>Sem vlož obrat v Kč.
Pravidlo: 25 % z obratu nad 72 000 Kč.
Po vyplnění se osobní ohodnocení spočítá automaticky v buňce M11.</t>
      </text>
    </comment>
    <comment ref="A12" authorId="0" shapeId="0">
      <text>
        <t>Os.ohod. není fixní. Viz buňka M12 a list Kontrola.</t>
      </text>
    </comment>
    <comment ref="M12" authorId="0" shapeId="0">
      <text>
        <t>Automatický výpočet z obratu v U12: 25 % z částky nad 74 000 Kč.</t>
      </text>
    </comment>
    <comment ref="U12" authorId="0" shapeId="0">
      <text>
        <t>Sem vlož obrat v Kč.
Pravidlo: 25 % z obratu nad 74 000 Kč.
Po vyplnění se osobní ohodnocení spočítá automaticky v buňce M12.</t>
      </text>
    </comment>
    <comment ref="A17" authorId="0" shapeId="0">
      <text>
        <t>Os.ohod. není fixní. Viz buňka M17 a list Kontrola.</t>
      </text>
    </comment>
    <comment ref="M17" authorId="0" shapeId="0">
      <text>
        <t>Automatický výpočet z obratu v U17: 25 % z částky nad 92 000 Kč.</t>
      </text>
    </comment>
    <comment ref="U17" authorId="0" shapeId="0">
      <text>
        <t>Sem vlož obrat v Kč.
Pravidlo: 25 % z obratu nad 92 000 Kč.
Po vyplnění se osobní ohodnocení spočítá automaticky v buňce M17.</t>
      </text>
    </comment>
  </commentList>
</comments>
</file>

<file path=xl/tables/table1.xml><?xml version="1.0" encoding="utf-8"?>
<table xmlns="http://schemas.openxmlformats.org/spreadsheetml/2006/main" id="1" name="HoldingData" displayName="HoldingData" ref="A4:Z86" headerRowCount="1">
  <autoFilter ref="A4:Z86"/>
  <tableColumns count="26">
    <tableColumn id="1" name="Společnost"/>
    <tableColumn id="2" name="Jméno"/>
    <tableColumn id="3" name="Pozice"/>
    <tableColumn id="4" name="Pracoviště"/>
    <tableColumn id="5" name="Prac.dnů"/>
    <tableColumn id="6" name="Odpracováno"/>
    <tableColumn id="7" name="Přesčasy"/>
    <tableColumn id="8" name="Dovolená"/>
    <tableColumn id="9" name="Termín dov."/>
    <tableColumn id="10" name="Nemoc"/>
    <tableColumn id="11" name="Termín nem."/>
    <tableColumn id="12" name="OČR"/>
    <tableColumn id="13" name="Termín OČR"/>
    <tableColumn id="14" name="Základ"/>
    <tableColumn id="15" name="Os.ohod."/>
    <tableColumn id="16" name="DPP"/>
    <tableColumn id="17" name="§10"/>
    <tableColumn id="18" name="Kafeterie"/>
    <tableColumn id="19" name="Parkovné"/>
    <tableColumn id="20" name="Multisport"/>
    <tableColumn id="21" name="Obědy"/>
    <tableColumn id="22" name="Srážka"/>
    <tableColumn id="23" name="Obrat pro osobko"/>
    <tableColumn id="24" name="CEO_ONLY"/>
    <tableColumn id="25" name="Pozn."/>
    <tableColumn id="26" name="Zdro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0" min="1" max="1"/>
    <col width="22" customWidth="1" style="20" min="2" max="2"/>
    <col width="18" customWidth="1" style="20" min="3" max="3"/>
    <col width="12" customWidth="1" style="20" min="4" max="4"/>
    <col width="11" customWidth="1" style="20" min="5" max="5"/>
    <col width="13" customWidth="1" style="20" min="6" max="6"/>
    <col width="11" customWidth="1" style="20" min="7" max="7"/>
    <col width="11" customWidth="1" style="20" min="8" max="8"/>
    <col width="16" customWidth="1" style="20" min="9" max="9"/>
    <col width="11" customWidth="1" style="20" min="10" max="10"/>
    <col width="24" customWidth="1" style="20" min="11" max="11"/>
    <col width="9" customWidth="1" style="20" min="12" max="12"/>
    <col width="14" customWidth="1" style="20" min="13" max="13"/>
    <col width="12" customWidth="1" style="20" min="14" max="14"/>
    <col width="12" customWidth="1" style="20" min="15" max="15"/>
    <col width="10" customWidth="1" style="20" min="16" max="16"/>
    <col width="10" customWidth="1" style="20" min="17" max="17"/>
    <col width="12" customWidth="1" style="20" min="18" max="18"/>
    <col width="12" customWidth="1" style="20" min="19" max="19"/>
    <col width="12" customWidth="1" style="20" min="20" max="20"/>
    <col width="12" customWidth="1" style="20" min="21" max="21"/>
    <col width="10" customWidth="1" style="20" min="22" max="22"/>
    <col width="16" customWidth="1" style="20" min="23" max="23"/>
    <col width="10" customWidth="1" style="20" min="24" max="24"/>
    <col width="18" customWidth="1" style="20" min="25" max="25"/>
    <col width="18" customWidth="1" style="20" min="26" max="26"/>
  </cols>
  <sheetData>
    <row r="1">
      <c r="A1" s="24" t="inlineStr">
        <is>
          <t>HOLDING – MZDY ÚNOR 2026</t>
        </is>
      </c>
    </row>
    <row r="2">
      <c r="A2" s="25" t="inlineStr">
        <is>
          <t>Konsolidovaný pohled přes VZC + KERA. Většina buněk je napojená na zdrojové listy v tomto souboru.</t>
        </is>
      </c>
    </row>
    <row r="4">
      <c r="A4" s="26" t="inlineStr">
        <is>
          <t>Společnost</t>
        </is>
      </c>
      <c r="B4" s="26" t="inlineStr">
        <is>
          <t>Jméno</t>
        </is>
      </c>
      <c r="C4" s="26" t="inlineStr">
        <is>
          <t>Pozice</t>
        </is>
      </c>
      <c r="D4" s="26" t="inlineStr">
        <is>
          <t>Pracoviště</t>
        </is>
      </c>
      <c r="E4" s="26" t="inlineStr">
        <is>
          <t>Prac.dnů</t>
        </is>
      </c>
      <c r="F4" s="26" t="inlineStr">
        <is>
          <t>Odpracováno</t>
        </is>
      </c>
      <c r="G4" s="26" t="inlineStr">
        <is>
          <t>Přesčasy</t>
        </is>
      </c>
      <c r="H4" s="26" t="inlineStr">
        <is>
          <t>Dovolená</t>
        </is>
      </c>
      <c r="I4" s="26" t="inlineStr">
        <is>
          <t>Termín dov.</t>
        </is>
      </c>
      <c r="J4" s="26" t="inlineStr">
        <is>
          <t>Nemoc</t>
        </is>
      </c>
      <c r="K4" s="26" t="inlineStr">
        <is>
          <t>Termín nem.</t>
        </is>
      </c>
      <c r="L4" s="26" t="inlineStr">
        <is>
          <t>OČR</t>
        </is>
      </c>
      <c r="M4" s="26" t="inlineStr">
        <is>
          <t>Termín OČR</t>
        </is>
      </c>
      <c r="N4" s="26" t="inlineStr">
        <is>
          <t>Základ</t>
        </is>
      </c>
      <c r="O4" s="26" t="inlineStr">
        <is>
          <t>Os.ohod.</t>
        </is>
      </c>
      <c r="P4" s="26" t="inlineStr">
        <is>
          <t>DPP</t>
        </is>
      </c>
      <c r="Q4" s="26" t="inlineStr">
        <is>
          <t>§10</t>
        </is>
      </c>
      <c r="R4" s="26" t="inlineStr">
        <is>
          <t>Kafeterie</t>
        </is>
      </c>
      <c r="S4" s="26" t="inlineStr">
        <is>
          <t>Parkovné</t>
        </is>
      </c>
      <c r="T4" s="26" t="inlineStr">
        <is>
          <t>Multisport</t>
        </is>
      </c>
      <c r="U4" s="26" t="inlineStr">
        <is>
          <t>Obědy</t>
        </is>
      </c>
      <c r="V4" s="26" t="inlineStr">
        <is>
          <t>Srážka</t>
        </is>
      </c>
      <c r="W4" s="26" t="inlineStr">
        <is>
          <t>Obrat pro osobko</t>
        </is>
      </c>
      <c r="X4" s="26" t="inlineStr">
        <is>
          <t>CEO_ONLY</t>
        </is>
      </c>
      <c r="Y4" s="26" t="inlineStr">
        <is>
          <t>Pozn.</t>
        </is>
      </c>
      <c r="Z4" s="26" t="inlineStr">
        <is>
          <t>Zdroj</t>
        </is>
      </c>
    </row>
    <row r="5">
      <c r="A5" s="27" t="inlineStr">
        <is>
          <t>VZC</t>
        </is>
      </c>
      <c r="B5" s="27">
        <f>'VZC_01_2026'!A4</f>
        <v/>
      </c>
      <c r="C5" s="27">
        <f>'VZC_01_2026'!B4</f>
        <v/>
      </c>
      <c r="D5" s="27">
        <f>'VZC_01_2026'!C4</f>
        <v/>
      </c>
      <c r="E5" s="28">
        <f>'VZC_01_2026'!D4</f>
        <v/>
      </c>
      <c r="F5" s="28">
        <f>'VZC_01_2026'!E4</f>
        <v/>
      </c>
      <c r="G5" s="28">
        <f>'VZC_01_2026'!F4</f>
        <v/>
      </c>
      <c r="H5" s="28">
        <f>'VZC_01_2026'!G4</f>
        <v/>
      </c>
      <c r="I5" s="27">
        <f>'VZC_01_2026'!H4</f>
        <v/>
      </c>
      <c r="J5" s="28">
        <f>'VZC_01_2026'!I4</f>
        <v/>
      </c>
      <c r="K5" s="27">
        <f>'VZC_01_2026'!J4</f>
        <v/>
      </c>
      <c r="L5" s="28" t="inlineStr"/>
      <c r="M5" s="27" t="inlineStr"/>
      <c r="N5" s="29">
        <f>'VZC_01_2026'!K4</f>
        <v/>
      </c>
      <c r="O5" s="29">
        <f>'VZC_01_2026'!L4</f>
        <v/>
      </c>
      <c r="P5" s="29">
        <f>'VZC_01_2026'!M4</f>
        <v/>
      </c>
      <c r="Q5" s="29">
        <f>'VZC_01_2026'!N4</f>
        <v/>
      </c>
      <c r="R5" s="29">
        <f>'VZC_01_2026'!O4</f>
        <v/>
      </c>
      <c r="S5" s="29">
        <f>'VZC_01_2026'!P4</f>
        <v/>
      </c>
      <c r="T5" s="29">
        <f>'VZC_01_2026'!Q4</f>
        <v/>
      </c>
      <c r="U5" s="29">
        <f>'VZC_01_2026'!R4</f>
        <v/>
      </c>
      <c r="V5" s="29" t="inlineStr"/>
      <c r="W5" s="29" t="inlineStr"/>
      <c r="X5" s="27">
        <f>'VZC_01_2026'!S4</f>
        <v/>
      </c>
      <c r="Y5" s="27">
        <f>'VZC_01_2026'!T4</f>
        <v/>
      </c>
      <c r="Z5" s="27" t="inlineStr">
        <is>
          <t>VZC_01_2026!4</t>
        </is>
      </c>
    </row>
    <row r="6">
      <c r="A6" s="27" t="inlineStr">
        <is>
          <t>VZC</t>
        </is>
      </c>
      <c r="B6" s="27">
        <f>'VZC_01_2026'!A5</f>
        <v/>
      </c>
      <c r="C6" s="27">
        <f>'VZC_01_2026'!B5</f>
        <v/>
      </c>
      <c r="D6" s="27">
        <f>'VZC_01_2026'!C5</f>
        <v/>
      </c>
      <c r="E6" s="28">
        <f>'VZC_01_2026'!D5</f>
        <v/>
      </c>
      <c r="F6" s="28">
        <f>'VZC_01_2026'!E5</f>
        <v/>
      </c>
      <c r="G6" s="28">
        <f>'VZC_01_2026'!F5</f>
        <v/>
      </c>
      <c r="H6" s="28">
        <f>'VZC_01_2026'!G5</f>
        <v/>
      </c>
      <c r="I6" s="27">
        <f>'VZC_01_2026'!H5</f>
        <v/>
      </c>
      <c r="J6" s="28">
        <f>'VZC_01_2026'!I5</f>
        <v/>
      </c>
      <c r="K6" s="27">
        <f>'VZC_01_2026'!J5</f>
        <v/>
      </c>
      <c r="L6" s="28" t="inlineStr"/>
      <c r="M6" s="27" t="inlineStr"/>
      <c r="N6" s="29">
        <f>'VZC_01_2026'!K5</f>
        <v/>
      </c>
      <c r="O6" s="29">
        <f>'VZC_01_2026'!L5</f>
        <v/>
      </c>
      <c r="P6" s="29">
        <f>'VZC_01_2026'!M5</f>
        <v/>
      </c>
      <c r="Q6" s="29">
        <f>'VZC_01_2026'!N5</f>
        <v/>
      </c>
      <c r="R6" s="29">
        <f>'VZC_01_2026'!O5</f>
        <v/>
      </c>
      <c r="S6" s="29">
        <f>'VZC_01_2026'!P5</f>
        <v/>
      </c>
      <c r="T6" s="29">
        <f>'VZC_01_2026'!Q5</f>
        <v/>
      </c>
      <c r="U6" s="29">
        <f>'VZC_01_2026'!R5</f>
        <v/>
      </c>
      <c r="V6" s="29" t="inlineStr"/>
      <c r="W6" s="29" t="inlineStr"/>
      <c r="X6" s="27">
        <f>'VZC_01_2026'!S5</f>
        <v/>
      </c>
      <c r="Y6" s="27">
        <f>'VZC_01_2026'!T5</f>
        <v/>
      </c>
      <c r="Z6" s="27" t="inlineStr">
        <is>
          <t>VZC_01_2026!5</t>
        </is>
      </c>
    </row>
    <row r="7">
      <c r="A7" s="27" t="inlineStr">
        <is>
          <t>VZC</t>
        </is>
      </c>
      <c r="B7" s="27">
        <f>'VZC_01_2026'!A6</f>
        <v/>
      </c>
      <c r="C7" s="27">
        <f>'VZC_01_2026'!B6</f>
        <v/>
      </c>
      <c r="D7" s="27">
        <f>'VZC_01_2026'!C6</f>
        <v/>
      </c>
      <c r="E7" s="28">
        <f>'VZC_01_2026'!D6</f>
        <v/>
      </c>
      <c r="F7" s="28">
        <f>'VZC_01_2026'!E6</f>
        <v/>
      </c>
      <c r="G7" s="28">
        <f>'VZC_01_2026'!F6</f>
        <v/>
      </c>
      <c r="H7" s="28">
        <f>'VZC_01_2026'!G6</f>
        <v/>
      </c>
      <c r="I7" s="27">
        <f>'VZC_01_2026'!H6</f>
        <v/>
      </c>
      <c r="J7" s="28">
        <f>'VZC_01_2026'!I6</f>
        <v/>
      </c>
      <c r="K7" s="27">
        <f>'VZC_01_2026'!J6</f>
        <v/>
      </c>
      <c r="L7" s="28" t="inlineStr"/>
      <c r="M7" s="27" t="inlineStr"/>
      <c r="N7" s="29">
        <f>'VZC_01_2026'!K6</f>
        <v/>
      </c>
      <c r="O7" s="29">
        <f>'VZC_01_2026'!L6</f>
        <v/>
      </c>
      <c r="P7" s="29">
        <f>'VZC_01_2026'!M6</f>
        <v/>
      </c>
      <c r="Q7" s="29">
        <f>'VZC_01_2026'!N6</f>
        <v/>
      </c>
      <c r="R7" s="29">
        <f>'VZC_01_2026'!O6</f>
        <v/>
      </c>
      <c r="S7" s="29">
        <f>'VZC_01_2026'!P6</f>
        <v/>
      </c>
      <c r="T7" s="29">
        <f>'VZC_01_2026'!Q6</f>
        <v/>
      </c>
      <c r="U7" s="29">
        <f>'VZC_01_2026'!R6</f>
        <v/>
      </c>
      <c r="V7" s="29" t="inlineStr"/>
      <c r="W7" s="29" t="inlineStr"/>
      <c r="X7" s="27">
        <f>'VZC_01_2026'!S6</f>
        <v/>
      </c>
      <c r="Y7" s="27">
        <f>'VZC_01_2026'!T6</f>
        <v/>
      </c>
      <c r="Z7" s="27" t="inlineStr">
        <is>
          <t>VZC_01_2026!6</t>
        </is>
      </c>
    </row>
    <row r="8">
      <c r="A8" s="27" t="inlineStr">
        <is>
          <t>VZC</t>
        </is>
      </c>
      <c r="B8" s="27">
        <f>'VZC_01_2026'!A7</f>
        <v/>
      </c>
      <c r="C8" s="27">
        <f>'VZC_01_2026'!B7</f>
        <v/>
      </c>
      <c r="D8" s="27">
        <f>'VZC_01_2026'!C7</f>
        <v/>
      </c>
      <c r="E8" s="28">
        <f>'VZC_01_2026'!D7</f>
        <v/>
      </c>
      <c r="F8" s="28">
        <f>'VZC_01_2026'!E7</f>
        <v/>
      </c>
      <c r="G8" s="28">
        <f>'VZC_01_2026'!F7</f>
        <v/>
      </c>
      <c r="H8" s="28">
        <f>'VZC_01_2026'!G7</f>
        <v/>
      </c>
      <c r="I8" s="27">
        <f>'VZC_01_2026'!H7</f>
        <v/>
      </c>
      <c r="J8" s="28">
        <f>'VZC_01_2026'!I7</f>
        <v/>
      </c>
      <c r="K8" s="27">
        <f>'VZC_01_2026'!J7</f>
        <v/>
      </c>
      <c r="L8" s="28" t="inlineStr"/>
      <c r="M8" s="27" t="inlineStr"/>
      <c r="N8" s="29">
        <f>'VZC_01_2026'!K7</f>
        <v/>
      </c>
      <c r="O8" s="29">
        <f>'VZC_01_2026'!L7</f>
        <v/>
      </c>
      <c r="P8" s="29">
        <f>'VZC_01_2026'!M7</f>
        <v/>
      </c>
      <c r="Q8" s="29">
        <f>'VZC_01_2026'!N7</f>
        <v/>
      </c>
      <c r="R8" s="29">
        <f>'VZC_01_2026'!O7</f>
        <v/>
      </c>
      <c r="S8" s="29">
        <f>'VZC_01_2026'!P7</f>
        <v/>
      </c>
      <c r="T8" s="29">
        <f>'VZC_01_2026'!Q7</f>
        <v/>
      </c>
      <c r="U8" s="29">
        <f>'VZC_01_2026'!R7</f>
        <v/>
      </c>
      <c r="V8" s="29" t="inlineStr"/>
      <c r="W8" s="29" t="inlineStr"/>
      <c r="X8" s="27">
        <f>'VZC_01_2026'!S7</f>
        <v/>
      </c>
      <c r="Y8" s="27">
        <f>'VZC_01_2026'!T7</f>
        <v/>
      </c>
      <c r="Z8" s="27" t="inlineStr">
        <is>
          <t>VZC_01_2026!7</t>
        </is>
      </c>
    </row>
    <row r="9">
      <c r="A9" s="27" t="inlineStr">
        <is>
          <t>VZC</t>
        </is>
      </c>
      <c r="B9" s="27">
        <f>'VZC_01_2026'!A8</f>
        <v/>
      </c>
      <c r="C9" s="27">
        <f>'VZC_01_2026'!B8</f>
        <v/>
      </c>
      <c r="D9" s="27">
        <f>'VZC_01_2026'!C8</f>
        <v/>
      </c>
      <c r="E9" s="28">
        <f>'VZC_01_2026'!D8</f>
        <v/>
      </c>
      <c r="F9" s="28">
        <f>'VZC_01_2026'!E8</f>
        <v/>
      </c>
      <c r="G9" s="28">
        <f>'VZC_01_2026'!F8</f>
        <v/>
      </c>
      <c r="H9" s="28">
        <f>'VZC_01_2026'!G8</f>
        <v/>
      </c>
      <c r="I9" s="27">
        <f>'VZC_01_2026'!H8</f>
        <v/>
      </c>
      <c r="J9" s="28">
        <f>'VZC_01_2026'!I8</f>
        <v/>
      </c>
      <c r="K9" s="27">
        <f>'VZC_01_2026'!J8</f>
        <v/>
      </c>
      <c r="L9" s="28" t="inlineStr"/>
      <c r="M9" s="27" t="inlineStr"/>
      <c r="N9" s="29">
        <f>'VZC_01_2026'!K8</f>
        <v/>
      </c>
      <c r="O9" s="29">
        <f>'VZC_01_2026'!L8</f>
        <v/>
      </c>
      <c r="P9" s="29">
        <f>'VZC_01_2026'!M8</f>
        <v/>
      </c>
      <c r="Q9" s="29">
        <f>'VZC_01_2026'!N8</f>
        <v/>
      </c>
      <c r="R9" s="29">
        <f>'VZC_01_2026'!O8</f>
        <v/>
      </c>
      <c r="S9" s="29">
        <f>'VZC_01_2026'!P8</f>
        <v/>
      </c>
      <c r="T9" s="29">
        <f>'VZC_01_2026'!Q8</f>
        <v/>
      </c>
      <c r="U9" s="29">
        <f>'VZC_01_2026'!R8</f>
        <v/>
      </c>
      <c r="V9" s="29" t="inlineStr"/>
      <c r="W9" s="29" t="inlineStr"/>
      <c r="X9" s="27">
        <f>'VZC_01_2026'!S8</f>
        <v/>
      </c>
      <c r="Y9" s="27">
        <f>'VZC_01_2026'!T8</f>
        <v/>
      </c>
      <c r="Z9" s="27" t="inlineStr">
        <is>
          <t>VZC_01_2026!8</t>
        </is>
      </c>
    </row>
    <row r="10">
      <c r="A10" s="27" t="inlineStr">
        <is>
          <t>VZC</t>
        </is>
      </c>
      <c r="B10" s="27">
        <f>'VZC_01_2026'!A9</f>
        <v/>
      </c>
      <c r="C10" s="27">
        <f>'VZC_01_2026'!B9</f>
        <v/>
      </c>
      <c r="D10" s="27">
        <f>'VZC_01_2026'!C9</f>
        <v/>
      </c>
      <c r="E10" s="28">
        <f>'VZC_01_2026'!D9</f>
        <v/>
      </c>
      <c r="F10" s="28">
        <f>'VZC_01_2026'!E9</f>
        <v/>
      </c>
      <c r="G10" s="28">
        <f>'VZC_01_2026'!F9</f>
        <v/>
      </c>
      <c r="H10" s="28">
        <f>'VZC_01_2026'!G9</f>
        <v/>
      </c>
      <c r="I10" s="27">
        <f>'VZC_01_2026'!H9</f>
        <v/>
      </c>
      <c r="J10" s="28">
        <f>'VZC_01_2026'!I9</f>
        <v/>
      </c>
      <c r="K10" s="27">
        <f>'VZC_01_2026'!J9</f>
        <v/>
      </c>
      <c r="L10" s="28" t="inlineStr"/>
      <c r="M10" s="27" t="inlineStr"/>
      <c r="N10" s="29">
        <f>'VZC_01_2026'!K9</f>
        <v/>
      </c>
      <c r="O10" s="29">
        <f>'VZC_01_2026'!L9</f>
        <v/>
      </c>
      <c r="P10" s="29">
        <f>'VZC_01_2026'!M9</f>
        <v/>
      </c>
      <c r="Q10" s="29">
        <f>'VZC_01_2026'!N9</f>
        <v/>
      </c>
      <c r="R10" s="29">
        <f>'VZC_01_2026'!O9</f>
        <v/>
      </c>
      <c r="S10" s="29">
        <f>'VZC_01_2026'!P9</f>
        <v/>
      </c>
      <c r="T10" s="29">
        <f>'VZC_01_2026'!Q9</f>
        <v/>
      </c>
      <c r="U10" s="29">
        <f>'VZC_01_2026'!R9</f>
        <v/>
      </c>
      <c r="V10" s="29" t="inlineStr"/>
      <c r="W10" s="29" t="inlineStr"/>
      <c r="X10" s="27">
        <f>'VZC_01_2026'!S9</f>
        <v/>
      </c>
      <c r="Y10" s="27">
        <f>'VZC_01_2026'!T9</f>
        <v/>
      </c>
      <c r="Z10" s="27" t="inlineStr">
        <is>
          <t>VZC_01_2026!9</t>
        </is>
      </c>
    </row>
    <row r="11">
      <c r="A11" s="27" t="inlineStr">
        <is>
          <t>VZC</t>
        </is>
      </c>
      <c r="B11" s="27">
        <f>'VZC_01_2026'!A10</f>
        <v/>
      </c>
      <c r="C11" s="27">
        <f>'VZC_01_2026'!B10</f>
        <v/>
      </c>
      <c r="D11" s="27">
        <f>'VZC_01_2026'!C10</f>
        <v/>
      </c>
      <c r="E11" s="28">
        <f>'VZC_01_2026'!D10</f>
        <v/>
      </c>
      <c r="F11" s="28">
        <f>'VZC_01_2026'!E10</f>
        <v/>
      </c>
      <c r="G11" s="28">
        <f>'VZC_01_2026'!F10</f>
        <v/>
      </c>
      <c r="H11" s="28">
        <f>'VZC_01_2026'!G10</f>
        <v/>
      </c>
      <c r="I11" s="27">
        <f>'VZC_01_2026'!H10</f>
        <v/>
      </c>
      <c r="J11" s="28">
        <f>'VZC_01_2026'!I10</f>
        <v/>
      </c>
      <c r="K11" s="27">
        <f>'VZC_01_2026'!J10</f>
        <v/>
      </c>
      <c r="L11" s="28" t="inlineStr"/>
      <c r="M11" s="27" t="inlineStr"/>
      <c r="N11" s="29">
        <f>'VZC_01_2026'!K10</f>
        <v/>
      </c>
      <c r="O11" s="29">
        <f>'VZC_01_2026'!L10</f>
        <v/>
      </c>
      <c r="P11" s="29">
        <f>'VZC_01_2026'!M10</f>
        <v/>
      </c>
      <c r="Q11" s="29">
        <f>'VZC_01_2026'!N10</f>
        <v/>
      </c>
      <c r="R11" s="29">
        <f>'VZC_01_2026'!O10</f>
        <v/>
      </c>
      <c r="S11" s="29">
        <f>'VZC_01_2026'!P10</f>
        <v/>
      </c>
      <c r="T11" s="29">
        <f>'VZC_01_2026'!Q10</f>
        <v/>
      </c>
      <c r="U11" s="29">
        <f>'VZC_01_2026'!R10</f>
        <v/>
      </c>
      <c r="V11" s="29" t="inlineStr"/>
      <c r="W11" s="29" t="inlineStr"/>
      <c r="X11" s="27">
        <f>'VZC_01_2026'!S10</f>
        <v/>
      </c>
      <c r="Y11" s="27">
        <f>'VZC_01_2026'!T10</f>
        <v/>
      </c>
      <c r="Z11" s="27" t="inlineStr">
        <is>
          <t>VZC_01_2026!10</t>
        </is>
      </c>
    </row>
    <row r="12">
      <c r="A12" s="27" t="inlineStr">
        <is>
          <t>VZC</t>
        </is>
      </c>
      <c r="B12" s="27">
        <f>'VZC_01_2026'!A11</f>
        <v/>
      </c>
      <c r="C12" s="27">
        <f>'VZC_01_2026'!B11</f>
        <v/>
      </c>
      <c r="D12" s="27">
        <f>'VZC_01_2026'!C11</f>
        <v/>
      </c>
      <c r="E12" s="28">
        <f>'VZC_01_2026'!D11</f>
        <v/>
      </c>
      <c r="F12" s="28">
        <f>'VZC_01_2026'!E11</f>
        <v/>
      </c>
      <c r="G12" s="28">
        <f>'VZC_01_2026'!F11</f>
        <v/>
      </c>
      <c r="H12" s="28">
        <f>'VZC_01_2026'!G11</f>
        <v/>
      </c>
      <c r="I12" s="27">
        <f>'VZC_01_2026'!H11</f>
        <v/>
      </c>
      <c r="J12" s="28">
        <f>'VZC_01_2026'!I11</f>
        <v/>
      </c>
      <c r="K12" s="27">
        <f>'VZC_01_2026'!J11</f>
        <v/>
      </c>
      <c r="L12" s="28" t="inlineStr"/>
      <c r="M12" s="27" t="inlineStr"/>
      <c r="N12" s="29">
        <f>'VZC_01_2026'!K11</f>
        <v/>
      </c>
      <c r="O12" s="29">
        <f>'VZC_01_2026'!L11</f>
        <v/>
      </c>
      <c r="P12" s="29">
        <f>'VZC_01_2026'!M11</f>
        <v/>
      </c>
      <c r="Q12" s="29">
        <f>'VZC_01_2026'!N11</f>
        <v/>
      </c>
      <c r="R12" s="29">
        <f>'VZC_01_2026'!O11</f>
        <v/>
      </c>
      <c r="S12" s="29">
        <f>'VZC_01_2026'!P11</f>
        <v/>
      </c>
      <c r="T12" s="29">
        <f>'VZC_01_2026'!Q11</f>
        <v/>
      </c>
      <c r="U12" s="29">
        <f>'VZC_01_2026'!R11</f>
        <v/>
      </c>
      <c r="V12" s="29" t="inlineStr"/>
      <c r="W12" s="29" t="inlineStr"/>
      <c r="X12" s="27">
        <f>'VZC_01_2026'!S11</f>
        <v/>
      </c>
      <c r="Y12" s="27">
        <f>'VZC_01_2026'!T11</f>
        <v/>
      </c>
      <c r="Z12" s="27" t="inlineStr">
        <is>
          <t>VZC_01_2026!11</t>
        </is>
      </c>
    </row>
    <row r="13">
      <c r="A13" s="27" t="inlineStr">
        <is>
          <t>VZC</t>
        </is>
      </c>
      <c r="B13" s="27">
        <f>'VZC_01_2026'!A12</f>
        <v/>
      </c>
      <c r="C13" s="27">
        <f>'VZC_01_2026'!B12</f>
        <v/>
      </c>
      <c r="D13" s="27">
        <f>'VZC_01_2026'!C12</f>
        <v/>
      </c>
      <c r="E13" s="28">
        <f>'VZC_01_2026'!D12</f>
        <v/>
      </c>
      <c r="F13" s="28">
        <f>'VZC_01_2026'!E12</f>
        <v/>
      </c>
      <c r="G13" s="28">
        <f>'VZC_01_2026'!F12</f>
        <v/>
      </c>
      <c r="H13" s="28">
        <f>'VZC_01_2026'!G12</f>
        <v/>
      </c>
      <c r="I13" s="27">
        <f>'VZC_01_2026'!H12</f>
        <v/>
      </c>
      <c r="J13" s="28">
        <f>'VZC_01_2026'!I12</f>
        <v/>
      </c>
      <c r="K13" s="27">
        <f>'VZC_01_2026'!J12</f>
        <v/>
      </c>
      <c r="L13" s="28" t="inlineStr"/>
      <c r="M13" s="27" t="inlineStr"/>
      <c r="N13" s="29">
        <f>'VZC_01_2026'!K12</f>
        <v/>
      </c>
      <c r="O13" s="29">
        <f>'VZC_01_2026'!L12</f>
        <v/>
      </c>
      <c r="P13" s="29">
        <f>'VZC_01_2026'!M12</f>
        <v/>
      </c>
      <c r="Q13" s="29">
        <f>'VZC_01_2026'!N12</f>
        <v/>
      </c>
      <c r="R13" s="29">
        <f>'VZC_01_2026'!O12</f>
        <v/>
      </c>
      <c r="S13" s="29">
        <f>'VZC_01_2026'!P12</f>
        <v/>
      </c>
      <c r="T13" s="29">
        <f>'VZC_01_2026'!Q12</f>
        <v/>
      </c>
      <c r="U13" s="29">
        <f>'VZC_01_2026'!R12</f>
        <v/>
      </c>
      <c r="V13" s="29" t="inlineStr"/>
      <c r="W13" s="29" t="inlineStr"/>
      <c r="X13" s="27">
        <f>'VZC_01_2026'!S12</f>
        <v/>
      </c>
      <c r="Y13" s="27">
        <f>'VZC_01_2026'!T12</f>
        <v/>
      </c>
      <c r="Z13" s="27" t="inlineStr">
        <is>
          <t>VZC_01_2026!12</t>
        </is>
      </c>
    </row>
    <row r="14">
      <c r="A14" s="27" t="inlineStr">
        <is>
          <t>VZC</t>
        </is>
      </c>
      <c r="B14" s="27">
        <f>'VZC_01_2026'!A13</f>
        <v/>
      </c>
      <c r="C14" s="27">
        <f>'VZC_01_2026'!B13</f>
        <v/>
      </c>
      <c r="D14" s="27">
        <f>'VZC_01_2026'!C13</f>
        <v/>
      </c>
      <c r="E14" s="28">
        <f>'VZC_01_2026'!D13</f>
        <v/>
      </c>
      <c r="F14" s="28">
        <f>'VZC_01_2026'!E13</f>
        <v/>
      </c>
      <c r="G14" s="28">
        <f>'VZC_01_2026'!F13</f>
        <v/>
      </c>
      <c r="H14" s="28">
        <f>'VZC_01_2026'!G13</f>
        <v/>
      </c>
      <c r="I14" s="27">
        <f>'VZC_01_2026'!H13</f>
        <v/>
      </c>
      <c r="J14" s="28">
        <f>'VZC_01_2026'!I13</f>
        <v/>
      </c>
      <c r="K14" s="27">
        <f>'VZC_01_2026'!J13</f>
        <v/>
      </c>
      <c r="L14" s="28" t="inlineStr"/>
      <c r="M14" s="27" t="inlineStr"/>
      <c r="N14" s="29">
        <f>'VZC_01_2026'!K13</f>
        <v/>
      </c>
      <c r="O14" s="29">
        <f>'VZC_01_2026'!L13</f>
        <v/>
      </c>
      <c r="P14" s="29">
        <f>'VZC_01_2026'!M13</f>
        <v/>
      </c>
      <c r="Q14" s="29">
        <f>'VZC_01_2026'!N13</f>
        <v/>
      </c>
      <c r="R14" s="29">
        <f>'VZC_01_2026'!O13</f>
        <v/>
      </c>
      <c r="S14" s="29">
        <f>'VZC_01_2026'!P13</f>
        <v/>
      </c>
      <c r="T14" s="29">
        <f>'VZC_01_2026'!Q13</f>
        <v/>
      </c>
      <c r="U14" s="29">
        <f>'VZC_01_2026'!R13</f>
        <v/>
      </c>
      <c r="V14" s="29" t="inlineStr"/>
      <c r="W14" s="29" t="inlineStr"/>
      <c r="X14" s="27">
        <f>'VZC_01_2026'!S13</f>
        <v/>
      </c>
      <c r="Y14" s="27">
        <f>'VZC_01_2026'!T13</f>
        <v/>
      </c>
      <c r="Z14" s="27" t="inlineStr">
        <is>
          <t>VZC_01_2026!13</t>
        </is>
      </c>
    </row>
    <row r="15">
      <c r="A15" s="27" t="inlineStr">
        <is>
          <t>VZC</t>
        </is>
      </c>
      <c r="B15" s="27">
        <f>'VZC_01_2026'!A14</f>
        <v/>
      </c>
      <c r="C15" s="27">
        <f>'VZC_01_2026'!B14</f>
        <v/>
      </c>
      <c r="D15" s="27">
        <f>'VZC_01_2026'!C14</f>
        <v/>
      </c>
      <c r="E15" s="28">
        <f>'VZC_01_2026'!D14</f>
        <v/>
      </c>
      <c r="F15" s="28">
        <f>'VZC_01_2026'!E14</f>
        <v/>
      </c>
      <c r="G15" s="28">
        <f>'VZC_01_2026'!F14</f>
        <v/>
      </c>
      <c r="H15" s="28">
        <f>'VZC_01_2026'!G14</f>
        <v/>
      </c>
      <c r="I15" s="27">
        <f>'VZC_01_2026'!H14</f>
        <v/>
      </c>
      <c r="J15" s="28">
        <f>'VZC_01_2026'!I14</f>
        <v/>
      </c>
      <c r="K15" s="27">
        <f>'VZC_01_2026'!J14</f>
        <v/>
      </c>
      <c r="L15" s="28" t="inlineStr"/>
      <c r="M15" s="27" t="inlineStr"/>
      <c r="N15" s="29">
        <f>'VZC_01_2026'!K14</f>
        <v/>
      </c>
      <c r="O15" s="29">
        <f>'VZC_01_2026'!L14</f>
        <v/>
      </c>
      <c r="P15" s="29">
        <f>'VZC_01_2026'!M14</f>
        <v/>
      </c>
      <c r="Q15" s="29">
        <f>'VZC_01_2026'!N14</f>
        <v/>
      </c>
      <c r="R15" s="29">
        <f>'VZC_01_2026'!O14</f>
        <v/>
      </c>
      <c r="S15" s="29">
        <f>'VZC_01_2026'!P14</f>
        <v/>
      </c>
      <c r="T15" s="29">
        <f>'VZC_01_2026'!Q14</f>
        <v/>
      </c>
      <c r="U15" s="29">
        <f>'VZC_01_2026'!R14</f>
        <v/>
      </c>
      <c r="V15" s="29" t="inlineStr"/>
      <c r="W15" s="29" t="inlineStr"/>
      <c r="X15" s="27">
        <f>'VZC_01_2026'!S14</f>
        <v/>
      </c>
      <c r="Y15" s="27">
        <f>'VZC_01_2026'!T14</f>
        <v/>
      </c>
      <c r="Z15" s="27" t="inlineStr">
        <is>
          <t>VZC_01_2026!14</t>
        </is>
      </c>
    </row>
    <row r="16">
      <c r="A16" s="27" t="inlineStr">
        <is>
          <t>VZC</t>
        </is>
      </c>
      <c r="B16" s="27">
        <f>'VZC_01_2026'!A15</f>
        <v/>
      </c>
      <c r="C16" s="27">
        <f>'VZC_01_2026'!B15</f>
        <v/>
      </c>
      <c r="D16" s="27">
        <f>'VZC_01_2026'!C15</f>
        <v/>
      </c>
      <c r="E16" s="28">
        <f>'VZC_01_2026'!D15</f>
        <v/>
      </c>
      <c r="F16" s="28">
        <f>'VZC_01_2026'!E15</f>
        <v/>
      </c>
      <c r="G16" s="28">
        <f>'VZC_01_2026'!F15</f>
        <v/>
      </c>
      <c r="H16" s="28">
        <f>'VZC_01_2026'!G15</f>
        <v/>
      </c>
      <c r="I16" s="27">
        <f>'VZC_01_2026'!H15</f>
        <v/>
      </c>
      <c r="J16" s="28">
        <f>'VZC_01_2026'!I15</f>
        <v/>
      </c>
      <c r="K16" s="27">
        <f>'VZC_01_2026'!J15</f>
        <v/>
      </c>
      <c r="L16" s="28" t="inlineStr"/>
      <c r="M16" s="27" t="inlineStr"/>
      <c r="N16" s="29">
        <f>'VZC_01_2026'!K15</f>
        <v/>
      </c>
      <c r="O16" s="29">
        <f>'VZC_01_2026'!L15</f>
        <v/>
      </c>
      <c r="P16" s="29">
        <f>'VZC_01_2026'!M15</f>
        <v/>
      </c>
      <c r="Q16" s="29">
        <f>'VZC_01_2026'!N15</f>
        <v/>
      </c>
      <c r="R16" s="29">
        <f>'VZC_01_2026'!O15</f>
        <v/>
      </c>
      <c r="S16" s="29">
        <f>'VZC_01_2026'!P15</f>
        <v/>
      </c>
      <c r="T16" s="29">
        <f>'VZC_01_2026'!Q15</f>
        <v/>
      </c>
      <c r="U16" s="29">
        <f>'VZC_01_2026'!R15</f>
        <v/>
      </c>
      <c r="V16" s="29" t="inlineStr"/>
      <c r="W16" s="29" t="inlineStr"/>
      <c r="X16" s="27">
        <f>'VZC_01_2026'!S15</f>
        <v/>
      </c>
      <c r="Y16" s="27">
        <f>'VZC_01_2026'!T15</f>
        <v/>
      </c>
      <c r="Z16" s="27" t="inlineStr">
        <is>
          <t>VZC_01_2026!15</t>
        </is>
      </c>
    </row>
    <row r="17">
      <c r="A17" s="27" t="inlineStr">
        <is>
          <t>VZC</t>
        </is>
      </c>
      <c r="B17" s="27">
        <f>'VZC_01_2026'!A16</f>
        <v/>
      </c>
      <c r="C17" s="27">
        <f>'VZC_01_2026'!B16</f>
        <v/>
      </c>
      <c r="D17" s="27">
        <f>'VZC_01_2026'!C16</f>
        <v/>
      </c>
      <c r="E17" s="28">
        <f>'VZC_01_2026'!D16</f>
        <v/>
      </c>
      <c r="F17" s="28">
        <f>'VZC_01_2026'!E16</f>
        <v/>
      </c>
      <c r="G17" s="28">
        <f>'VZC_01_2026'!F16</f>
        <v/>
      </c>
      <c r="H17" s="28">
        <f>'VZC_01_2026'!G16</f>
        <v/>
      </c>
      <c r="I17" s="27">
        <f>'VZC_01_2026'!H16</f>
        <v/>
      </c>
      <c r="J17" s="28">
        <f>'VZC_01_2026'!I16</f>
        <v/>
      </c>
      <c r="K17" s="27">
        <f>'VZC_01_2026'!J16</f>
        <v/>
      </c>
      <c r="L17" s="28" t="inlineStr"/>
      <c r="M17" s="27" t="inlineStr"/>
      <c r="N17" s="29">
        <f>'VZC_01_2026'!K16</f>
        <v/>
      </c>
      <c r="O17" s="29">
        <f>'VZC_01_2026'!L16</f>
        <v/>
      </c>
      <c r="P17" s="29">
        <f>'VZC_01_2026'!M16</f>
        <v/>
      </c>
      <c r="Q17" s="29">
        <f>'VZC_01_2026'!N16</f>
        <v/>
      </c>
      <c r="R17" s="29">
        <f>'VZC_01_2026'!O16</f>
        <v/>
      </c>
      <c r="S17" s="29">
        <f>'VZC_01_2026'!P16</f>
        <v/>
      </c>
      <c r="T17" s="29">
        <f>'VZC_01_2026'!Q16</f>
        <v/>
      </c>
      <c r="U17" s="29">
        <f>'VZC_01_2026'!R16</f>
        <v/>
      </c>
      <c r="V17" s="29" t="inlineStr"/>
      <c r="W17" s="29" t="inlineStr"/>
      <c r="X17" s="27">
        <f>'VZC_01_2026'!S16</f>
        <v/>
      </c>
      <c r="Y17" s="27">
        <f>'VZC_01_2026'!T16</f>
        <v/>
      </c>
      <c r="Z17" s="27" t="inlineStr">
        <is>
          <t>VZC_01_2026!16</t>
        </is>
      </c>
    </row>
    <row r="18">
      <c r="A18" s="27" t="inlineStr">
        <is>
          <t>VZC</t>
        </is>
      </c>
      <c r="B18" s="27">
        <f>'VZC_01_2026'!A17</f>
        <v/>
      </c>
      <c r="C18" s="27">
        <f>'VZC_01_2026'!B17</f>
        <v/>
      </c>
      <c r="D18" s="27">
        <f>'VZC_01_2026'!C17</f>
        <v/>
      </c>
      <c r="E18" s="28">
        <f>'VZC_01_2026'!D17</f>
        <v/>
      </c>
      <c r="F18" s="28">
        <f>'VZC_01_2026'!E17</f>
        <v/>
      </c>
      <c r="G18" s="28">
        <f>'VZC_01_2026'!F17</f>
        <v/>
      </c>
      <c r="H18" s="28">
        <f>'VZC_01_2026'!G17</f>
        <v/>
      </c>
      <c r="I18" s="27">
        <f>'VZC_01_2026'!H17</f>
        <v/>
      </c>
      <c r="J18" s="28">
        <f>'VZC_01_2026'!I17</f>
        <v/>
      </c>
      <c r="K18" s="27">
        <f>'VZC_01_2026'!J17</f>
        <v/>
      </c>
      <c r="L18" s="28" t="inlineStr"/>
      <c r="M18" s="27" t="inlineStr"/>
      <c r="N18" s="29">
        <f>'VZC_01_2026'!K17</f>
        <v/>
      </c>
      <c r="O18" s="29">
        <f>'VZC_01_2026'!L17</f>
        <v/>
      </c>
      <c r="P18" s="29">
        <f>'VZC_01_2026'!M17</f>
        <v/>
      </c>
      <c r="Q18" s="29">
        <f>'VZC_01_2026'!N17</f>
        <v/>
      </c>
      <c r="R18" s="29">
        <f>'VZC_01_2026'!O17</f>
        <v/>
      </c>
      <c r="S18" s="29">
        <f>'VZC_01_2026'!P17</f>
        <v/>
      </c>
      <c r="T18" s="29">
        <f>'VZC_01_2026'!Q17</f>
        <v/>
      </c>
      <c r="U18" s="29">
        <f>'VZC_01_2026'!R17</f>
        <v/>
      </c>
      <c r="V18" s="29" t="inlineStr"/>
      <c r="W18" s="29" t="inlineStr"/>
      <c r="X18" s="27">
        <f>'VZC_01_2026'!S17</f>
        <v/>
      </c>
      <c r="Y18" s="27">
        <f>'VZC_01_2026'!T17</f>
        <v/>
      </c>
      <c r="Z18" s="27" t="inlineStr">
        <is>
          <t>VZC_01_2026!17</t>
        </is>
      </c>
    </row>
    <row r="19">
      <c r="A19" s="27" t="inlineStr">
        <is>
          <t>VZC</t>
        </is>
      </c>
      <c r="B19" s="27">
        <f>'VZC_01_2026'!A18</f>
        <v/>
      </c>
      <c r="C19" s="27">
        <f>'VZC_01_2026'!B18</f>
        <v/>
      </c>
      <c r="D19" s="27">
        <f>'VZC_01_2026'!C18</f>
        <v/>
      </c>
      <c r="E19" s="28">
        <f>'VZC_01_2026'!D18</f>
        <v/>
      </c>
      <c r="F19" s="28">
        <f>'VZC_01_2026'!E18</f>
        <v/>
      </c>
      <c r="G19" s="28">
        <f>'VZC_01_2026'!F18</f>
        <v/>
      </c>
      <c r="H19" s="28">
        <f>'VZC_01_2026'!G18</f>
        <v/>
      </c>
      <c r="I19" s="27">
        <f>'VZC_01_2026'!H18</f>
        <v/>
      </c>
      <c r="J19" s="28">
        <f>'VZC_01_2026'!I18</f>
        <v/>
      </c>
      <c r="K19" s="27">
        <f>'VZC_01_2026'!J18</f>
        <v/>
      </c>
      <c r="L19" s="28" t="inlineStr"/>
      <c r="M19" s="27" t="inlineStr"/>
      <c r="N19" s="29">
        <f>'VZC_01_2026'!K18</f>
        <v/>
      </c>
      <c r="O19" s="29">
        <f>'VZC_01_2026'!L18</f>
        <v/>
      </c>
      <c r="P19" s="29">
        <f>'VZC_01_2026'!M18</f>
        <v/>
      </c>
      <c r="Q19" s="29">
        <f>'VZC_01_2026'!N18</f>
        <v/>
      </c>
      <c r="R19" s="29">
        <f>'VZC_01_2026'!O18</f>
        <v/>
      </c>
      <c r="S19" s="29">
        <f>'VZC_01_2026'!P18</f>
        <v/>
      </c>
      <c r="T19" s="29">
        <f>'VZC_01_2026'!Q18</f>
        <v/>
      </c>
      <c r="U19" s="29">
        <f>'VZC_01_2026'!R18</f>
        <v/>
      </c>
      <c r="V19" s="29" t="inlineStr"/>
      <c r="W19" s="29" t="inlineStr"/>
      <c r="X19" s="27">
        <f>'VZC_01_2026'!S18</f>
        <v/>
      </c>
      <c r="Y19" s="27">
        <f>'VZC_01_2026'!T18</f>
        <v/>
      </c>
      <c r="Z19" s="27" t="inlineStr">
        <is>
          <t>VZC_01_2026!18</t>
        </is>
      </c>
    </row>
    <row r="20">
      <c r="A20" s="27" t="inlineStr">
        <is>
          <t>VZC</t>
        </is>
      </c>
      <c r="B20" s="27">
        <f>'VZC_01_2026'!A19</f>
        <v/>
      </c>
      <c r="C20" s="27">
        <f>'VZC_01_2026'!B19</f>
        <v/>
      </c>
      <c r="D20" s="27">
        <f>'VZC_01_2026'!C19</f>
        <v/>
      </c>
      <c r="E20" s="28">
        <f>'VZC_01_2026'!D19</f>
        <v/>
      </c>
      <c r="F20" s="28">
        <f>'VZC_01_2026'!E19</f>
        <v/>
      </c>
      <c r="G20" s="28">
        <f>'VZC_01_2026'!F19</f>
        <v/>
      </c>
      <c r="H20" s="28">
        <f>'VZC_01_2026'!G19</f>
        <v/>
      </c>
      <c r="I20" s="27">
        <f>'VZC_01_2026'!H19</f>
        <v/>
      </c>
      <c r="J20" s="28">
        <f>'VZC_01_2026'!I19</f>
        <v/>
      </c>
      <c r="K20" s="27">
        <f>'VZC_01_2026'!J19</f>
        <v/>
      </c>
      <c r="L20" s="28" t="inlineStr"/>
      <c r="M20" s="27" t="inlineStr"/>
      <c r="N20" s="29">
        <f>'VZC_01_2026'!K19</f>
        <v/>
      </c>
      <c r="O20" s="29">
        <f>'VZC_01_2026'!L19</f>
        <v/>
      </c>
      <c r="P20" s="29">
        <f>'VZC_01_2026'!M19</f>
        <v/>
      </c>
      <c r="Q20" s="29">
        <f>'VZC_01_2026'!N19</f>
        <v/>
      </c>
      <c r="R20" s="29">
        <f>'VZC_01_2026'!O19</f>
        <v/>
      </c>
      <c r="S20" s="29">
        <f>'VZC_01_2026'!P19</f>
        <v/>
      </c>
      <c r="T20" s="29">
        <f>'VZC_01_2026'!Q19</f>
        <v/>
      </c>
      <c r="U20" s="29">
        <f>'VZC_01_2026'!R19</f>
        <v/>
      </c>
      <c r="V20" s="29" t="inlineStr"/>
      <c r="W20" s="29" t="inlineStr"/>
      <c r="X20" s="27">
        <f>'VZC_01_2026'!S19</f>
        <v/>
      </c>
      <c r="Y20" s="27">
        <f>'VZC_01_2026'!T19</f>
        <v/>
      </c>
      <c r="Z20" s="27" t="inlineStr">
        <is>
          <t>VZC_01_2026!19</t>
        </is>
      </c>
    </row>
    <row r="21">
      <c r="A21" s="27" t="inlineStr">
        <is>
          <t>VZC</t>
        </is>
      </c>
      <c r="B21" s="27">
        <f>'VZC_01_2026'!A20</f>
        <v/>
      </c>
      <c r="C21" s="27">
        <f>'VZC_01_2026'!B20</f>
        <v/>
      </c>
      <c r="D21" s="27">
        <f>'VZC_01_2026'!C20</f>
        <v/>
      </c>
      <c r="E21" s="28">
        <f>'VZC_01_2026'!D20</f>
        <v/>
      </c>
      <c r="F21" s="28">
        <f>'VZC_01_2026'!E20</f>
        <v/>
      </c>
      <c r="G21" s="28">
        <f>'VZC_01_2026'!F20</f>
        <v/>
      </c>
      <c r="H21" s="28">
        <f>'VZC_01_2026'!G20</f>
        <v/>
      </c>
      <c r="I21" s="27">
        <f>'VZC_01_2026'!H20</f>
        <v/>
      </c>
      <c r="J21" s="28">
        <f>'VZC_01_2026'!I20</f>
        <v/>
      </c>
      <c r="K21" s="27">
        <f>'VZC_01_2026'!J20</f>
        <v/>
      </c>
      <c r="L21" s="28" t="inlineStr"/>
      <c r="M21" s="27" t="inlineStr"/>
      <c r="N21" s="29">
        <f>'VZC_01_2026'!K20</f>
        <v/>
      </c>
      <c r="O21" s="29">
        <f>'VZC_01_2026'!L20</f>
        <v/>
      </c>
      <c r="P21" s="29">
        <f>'VZC_01_2026'!M20</f>
        <v/>
      </c>
      <c r="Q21" s="29">
        <f>'VZC_01_2026'!N20</f>
        <v/>
      </c>
      <c r="R21" s="29">
        <f>'VZC_01_2026'!O20</f>
        <v/>
      </c>
      <c r="S21" s="29">
        <f>'VZC_01_2026'!P20</f>
        <v/>
      </c>
      <c r="T21" s="29">
        <f>'VZC_01_2026'!Q20</f>
        <v/>
      </c>
      <c r="U21" s="29">
        <f>'VZC_01_2026'!R20</f>
        <v/>
      </c>
      <c r="V21" s="29" t="inlineStr"/>
      <c r="W21" s="29" t="inlineStr"/>
      <c r="X21" s="27">
        <f>'VZC_01_2026'!S20</f>
        <v/>
      </c>
      <c r="Y21" s="27">
        <f>'VZC_01_2026'!T20</f>
        <v/>
      </c>
      <c r="Z21" s="27" t="inlineStr">
        <is>
          <t>VZC_01_2026!20</t>
        </is>
      </c>
    </row>
    <row r="22">
      <c r="A22" s="27" t="inlineStr">
        <is>
          <t>VZC</t>
        </is>
      </c>
      <c r="B22" s="27">
        <f>'VZC_01_2026'!A21</f>
        <v/>
      </c>
      <c r="C22" s="27">
        <f>'VZC_01_2026'!B21</f>
        <v/>
      </c>
      <c r="D22" s="27">
        <f>'VZC_01_2026'!C21</f>
        <v/>
      </c>
      <c r="E22" s="28">
        <f>'VZC_01_2026'!D21</f>
        <v/>
      </c>
      <c r="F22" s="28">
        <f>'VZC_01_2026'!E21</f>
        <v/>
      </c>
      <c r="G22" s="28">
        <f>'VZC_01_2026'!F21</f>
        <v/>
      </c>
      <c r="H22" s="28">
        <f>'VZC_01_2026'!G21</f>
        <v/>
      </c>
      <c r="I22" s="27">
        <f>'VZC_01_2026'!H21</f>
        <v/>
      </c>
      <c r="J22" s="28">
        <f>'VZC_01_2026'!I21</f>
        <v/>
      </c>
      <c r="K22" s="27">
        <f>'VZC_01_2026'!J21</f>
        <v/>
      </c>
      <c r="L22" s="28" t="inlineStr"/>
      <c r="M22" s="27" t="inlineStr"/>
      <c r="N22" s="29">
        <f>'VZC_01_2026'!K21</f>
        <v/>
      </c>
      <c r="O22" s="29">
        <f>'VZC_01_2026'!L21</f>
        <v/>
      </c>
      <c r="P22" s="29">
        <f>'VZC_01_2026'!M21</f>
        <v/>
      </c>
      <c r="Q22" s="29">
        <f>'VZC_01_2026'!N21</f>
        <v/>
      </c>
      <c r="R22" s="29">
        <f>'VZC_01_2026'!O21</f>
        <v/>
      </c>
      <c r="S22" s="29">
        <f>'VZC_01_2026'!P21</f>
        <v/>
      </c>
      <c r="T22" s="29">
        <f>'VZC_01_2026'!Q21</f>
        <v/>
      </c>
      <c r="U22" s="29">
        <f>'VZC_01_2026'!R21</f>
        <v/>
      </c>
      <c r="V22" s="29" t="inlineStr"/>
      <c r="W22" s="29" t="inlineStr"/>
      <c r="X22" s="27">
        <f>'VZC_01_2026'!S21</f>
        <v/>
      </c>
      <c r="Y22" s="27">
        <f>'VZC_01_2026'!T21</f>
        <v/>
      </c>
      <c r="Z22" s="27" t="inlineStr">
        <is>
          <t>VZC_01_2026!21</t>
        </is>
      </c>
    </row>
    <row r="23">
      <c r="A23" s="27" t="inlineStr">
        <is>
          <t>VZC</t>
        </is>
      </c>
      <c r="B23" s="27">
        <f>'VZC_01_2026'!A22</f>
        <v/>
      </c>
      <c r="C23" s="27">
        <f>'VZC_01_2026'!B22</f>
        <v/>
      </c>
      <c r="D23" s="27">
        <f>'VZC_01_2026'!C22</f>
        <v/>
      </c>
      <c r="E23" s="28">
        <f>'VZC_01_2026'!D22</f>
        <v/>
      </c>
      <c r="F23" s="28">
        <f>'VZC_01_2026'!E22</f>
        <v/>
      </c>
      <c r="G23" s="28">
        <f>'VZC_01_2026'!F22</f>
        <v/>
      </c>
      <c r="H23" s="28">
        <f>'VZC_01_2026'!G22</f>
        <v/>
      </c>
      <c r="I23" s="27">
        <f>'VZC_01_2026'!H22</f>
        <v/>
      </c>
      <c r="J23" s="28">
        <f>'VZC_01_2026'!I22</f>
        <v/>
      </c>
      <c r="K23" s="27">
        <f>'VZC_01_2026'!J22</f>
        <v/>
      </c>
      <c r="L23" s="28" t="inlineStr"/>
      <c r="M23" s="27" t="inlineStr"/>
      <c r="N23" s="29">
        <f>'VZC_01_2026'!K22</f>
        <v/>
      </c>
      <c r="O23" s="29">
        <f>'VZC_01_2026'!L22</f>
        <v/>
      </c>
      <c r="P23" s="29">
        <f>'VZC_01_2026'!M22</f>
        <v/>
      </c>
      <c r="Q23" s="29">
        <f>'VZC_01_2026'!N22</f>
        <v/>
      </c>
      <c r="R23" s="29">
        <f>'VZC_01_2026'!O22</f>
        <v/>
      </c>
      <c r="S23" s="29">
        <f>'VZC_01_2026'!P22</f>
        <v/>
      </c>
      <c r="T23" s="29">
        <f>'VZC_01_2026'!Q22</f>
        <v/>
      </c>
      <c r="U23" s="29">
        <f>'VZC_01_2026'!R22</f>
        <v/>
      </c>
      <c r="V23" s="29" t="inlineStr"/>
      <c r="W23" s="29" t="inlineStr"/>
      <c r="X23" s="27">
        <f>'VZC_01_2026'!S22</f>
        <v/>
      </c>
      <c r="Y23" s="27">
        <f>'VZC_01_2026'!T22</f>
        <v/>
      </c>
      <c r="Z23" s="27" t="inlineStr">
        <is>
          <t>VZC_01_2026!22</t>
        </is>
      </c>
    </row>
    <row r="24">
      <c r="A24" s="27" t="inlineStr">
        <is>
          <t>VZC</t>
        </is>
      </c>
      <c r="B24" s="27">
        <f>'VZC_01_2026'!A23</f>
        <v/>
      </c>
      <c r="C24" s="27">
        <f>'VZC_01_2026'!B23</f>
        <v/>
      </c>
      <c r="D24" s="27">
        <f>'VZC_01_2026'!C23</f>
        <v/>
      </c>
      <c r="E24" s="28">
        <f>'VZC_01_2026'!D23</f>
        <v/>
      </c>
      <c r="F24" s="28">
        <f>'VZC_01_2026'!E23</f>
        <v/>
      </c>
      <c r="G24" s="28">
        <f>'VZC_01_2026'!F23</f>
        <v/>
      </c>
      <c r="H24" s="28">
        <f>'VZC_01_2026'!G23</f>
        <v/>
      </c>
      <c r="I24" s="27">
        <f>'VZC_01_2026'!H23</f>
        <v/>
      </c>
      <c r="J24" s="28">
        <f>'VZC_01_2026'!I23</f>
        <v/>
      </c>
      <c r="K24" s="27">
        <f>'VZC_01_2026'!J23</f>
        <v/>
      </c>
      <c r="L24" s="28" t="inlineStr"/>
      <c r="M24" s="27" t="inlineStr"/>
      <c r="N24" s="29">
        <f>'VZC_01_2026'!K23</f>
        <v/>
      </c>
      <c r="O24" s="29">
        <f>'VZC_01_2026'!L23</f>
        <v/>
      </c>
      <c r="P24" s="29">
        <f>'VZC_01_2026'!M23</f>
        <v/>
      </c>
      <c r="Q24" s="29">
        <f>'VZC_01_2026'!N23</f>
        <v/>
      </c>
      <c r="R24" s="29">
        <f>'VZC_01_2026'!O23</f>
        <v/>
      </c>
      <c r="S24" s="29">
        <f>'VZC_01_2026'!P23</f>
        <v/>
      </c>
      <c r="T24" s="29">
        <f>'VZC_01_2026'!Q23</f>
        <v/>
      </c>
      <c r="U24" s="29">
        <f>'VZC_01_2026'!R23</f>
        <v/>
      </c>
      <c r="V24" s="29" t="inlineStr"/>
      <c r="W24" s="29" t="inlineStr"/>
      <c r="X24" s="27">
        <f>'VZC_01_2026'!S23</f>
        <v/>
      </c>
      <c r="Y24" s="27">
        <f>'VZC_01_2026'!T23</f>
        <v/>
      </c>
      <c r="Z24" s="27" t="inlineStr">
        <is>
          <t>VZC_01_2026!23</t>
        </is>
      </c>
    </row>
    <row r="25">
      <c r="A25" s="27" t="inlineStr">
        <is>
          <t>VZC</t>
        </is>
      </c>
      <c r="B25" s="27">
        <f>'VZC_01_2026'!A24</f>
        <v/>
      </c>
      <c r="C25" s="27">
        <f>'VZC_01_2026'!B24</f>
        <v/>
      </c>
      <c r="D25" s="27">
        <f>'VZC_01_2026'!C24</f>
        <v/>
      </c>
      <c r="E25" s="28">
        <f>'VZC_01_2026'!D24</f>
        <v/>
      </c>
      <c r="F25" s="28">
        <f>'VZC_01_2026'!E24</f>
        <v/>
      </c>
      <c r="G25" s="28">
        <f>'VZC_01_2026'!F24</f>
        <v/>
      </c>
      <c r="H25" s="28">
        <f>'VZC_01_2026'!G24</f>
        <v/>
      </c>
      <c r="I25" s="27">
        <f>'VZC_01_2026'!H24</f>
        <v/>
      </c>
      <c r="J25" s="28">
        <f>'VZC_01_2026'!I24</f>
        <v/>
      </c>
      <c r="K25" s="27">
        <f>'VZC_01_2026'!J24</f>
        <v/>
      </c>
      <c r="L25" s="28" t="inlineStr"/>
      <c r="M25" s="27" t="inlineStr"/>
      <c r="N25" s="29">
        <f>'VZC_01_2026'!K24</f>
        <v/>
      </c>
      <c r="O25" s="29">
        <f>'VZC_01_2026'!L24</f>
        <v/>
      </c>
      <c r="P25" s="29">
        <f>'VZC_01_2026'!M24</f>
        <v/>
      </c>
      <c r="Q25" s="29">
        <f>'VZC_01_2026'!N24</f>
        <v/>
      </c>
      <c r="R25" s="29">
        <f>'VZC_01_2026'!O24</f>
        <v/>
      </c>
      <c r="S25" s="29">
        <f>'VZC_01_2026'!P24</f>
        <v/>
      </c>
      <c r="T25" s="29">
        <f>'VZC_01_2026'!Q24</f>
        <v/>
      </c>
      <c r="U25" s="29">
        <f>'VZC_01_2026'!R24</f>
        <v/>
      </c>
      <c r="V25" s="29" t="inlineStr"/>
      <c r="W25" s="29" t="inlineStr"/>
      <c r="X25" s="27">
        <f>'VZC_01_2026'!S24</f>
        <v/>
      </c>
      <c r="Y25" s="27">
        <f>'VZC_01_2026'!T24</f>
        <v/>
      </c>
      <c r="Z25" s="27" t="inlineStr">
        <is>
          <t>VZC_01_2026!24</t>
        </is>
      </c>
    </row>
    <row r="26">
      <c r="A26" s="27" t="inlineStr">
        <is>
          <t>VZC</t>
        </is>
      </c>
      <c r="B26" s="27">
        <f>'VZC_01_2026'!A25</f>
        <v/>
      </c>
      <c r="C26" s="27">
        <f>'VZC_01_2026'!B25</f>
        <v/>
      </c>
      <c r="D26" s="27">
        <f>'VZC_01_2026'!C25</f>
        <v/>
      </c>
      <c r="E26" s="28">
        <f>'VZC_01_2026'!D25</f>
        <v/>
      </c>
      <c r="F26" s="28">
        <f>'VZC_01_2026'!E25</f>
        <v/>
      </c>
      <c r="G26" s="28">
        <f>'VZC_01_2026'!F25</f>
        <v/>
      </c>
      <c r="H26" s="28">
        <f>'VZC_01_2026'!G25</f>
        <v/>
      </c>
      <c r="I26" s="27">
        <f>'VZC_01_2026'!H25</f>
        <v/>
      </c>
      <c r="J26" s="28">
        <f>'VZC_01_2026'!I25</f>
        <v/>
      </c>
      <c r="K26" s="27">
        <f>'VZC_01_2026'!J25</f>
        <v/>
      </c>
      <c r="L26" s="28" t="inlineStr"/>
      <c r="M26" s="27" t="inlineStr"/>
      <c r="N26" s="29">
        <f>'VZC_01_2026'!K25</f>
        <v/>
      </c>
      <c r="O26" s="29">
        <f>'VZC_01_2026'!L25</f>
        <v/>
      </c>
      <c r="P26" s="29">
        <f>'VZC_01_2026'!M25</f>
        <v/>
      </c>
      <c r="Q26" s="29">
        <f>'VZC_01_2026'!N25</f>
        <v/>
      </c>
      <c r="R26" s="29">
        <f>'VZC_01_2026'!O25</f>
        <v/>
      </c>
      <c r="S26" s="29">
        <f>'VZC_01_2026'!P25</f>
        <v/>
      </c>
      <c r="T26" s="29">
        <f>'VZC_01_2026'!Q25</f>
        <v/>
      </c>
      <c r="U26" s="29">
        <f>'VZC_01_2026'!R25</f>
        <v/>
      </c>
      <c r="V26" s="29" t="inlineStr"/>
      <c r="W26" s="29" t="inlineStr"/>
      <c r="X26" s="27">
        <f>'VZC_01_2026'!S25</f>
        <v/>
      </c>
      <c r="Y26" s="27">
        <f>'VZC_01_2026'!T25</f>
        <v/>
      </c>
      <c r="Z26" s="27" t="inlineStr">
        <is>
          <t>VZC_01_2026!25</t>
        </is>
      </c>
    </row>
    <row r="27">
      <c r="A27" s="27" t="inlineStr">
        <is>
          <t>VZC</t>
        </is>
      </c>
      <c r="B27" s="27">
        <f>'VZC_01_2026'!A26</f>
        <v/>
      </c>
      <c r="C27" s="27">
        <f>'VZC_01_2026'!B26</f>
        <v/>
      </c>
      <c r="D27" s="27">
        <f>'VZC_01_2026'!C26</f>
        <v/>
      </c>
      <c r="E27" s="28">
        <f>'VZC_01_2026'!D26</f>
        <v/>
      </c>
      <c r="F27" s="28">
        <f>'VZC_01_2026'!E26</f>
        <v/>
      </c>
      <c r="G27" s="28">
        <f>'VZC_01_2026'!F26</f>
        <v/>
      </c>
      <c r="H27" s="28">
        <f>'VZC_01_2026'!G26</f>
        <v/>
      </c>
      <c r="I27" s="27">
        <f>'VZC_01_2026'!H26</f>
        <v/>
      </c>
      <c r="J27" s="28">
        <f>'VZC_01_2026'!I26</f>
        <v/>
      </c>
      <c r="K27" s="27">
        <f>'VZC_01_2026'!J26</f>
        <v/>
      </c>
      <c r="L27" s="28" t="inlineStr"/>
      <c r="M27" s="27" t="inlineStr"/>
      <c r="N27" s="29">
        <f>'VZC_01_2026'!K26</f>
        <v/>
      </c>
      <c r="O27" s="29">
        <f>'VZC_01_2026'!L26</f>
        <v/>
      </c>
      <c r="P27" s="29">
        <f>'VZC_01_2026'!M26</f>
        <v/>
      </c>
      <c r="Q27" s="29">
        <f>'VZC_01_2026'!N26</f>
        <v/>
      </c>
      <c r="R27" s="29">
        <f>'VZC_01_2026'!O26</f>
        <v/>
      </c>
      <c r="S27" s="29">
        <f>'VZC_01_2026'!P26</f>
        <v/>
      </c>
      <c r="T27" s="29">
        <f>'VZC_01_2026'!Q26</f>
        <v/>
      </c>
      <c r="U27" s="29">
        <f>'VZC_01_2026'!R26</f>
        <v/>
      </c>
      <c r="V27" s="29" t="inlineStr"/>
      <c r="W27" s="29" t="inlineStr"/>
      <c r="X27" s="27">
        <f>'VZC_01_2026'!S26</f>
        <v/>
      </c>
      <c r="Y27" s="27">
        <f>'VZC_01_2026'!T26</f>
        <v/>
      </c>
      <c r="Z27" s="27" t="inlineStr">
        <is>
          <t>VZC_01_2026!26</t>
        </is>
      </c>
    </row>
    <row r="28">
      <c r="A28" s="27" t="inlineStr">
        <is>
          <t>VZC</t>
        </is>
      </c>
      <c r="B28" s="27">
        <f>'VZC_01_2026'!A27</f>
        <v/>
      </c>
      <c r="C28" s="27">
        <f>'VZC_01_2026'!B27</f>
        <v/>
      </c>
      <c r="D28" s="27">
        <f>'VZC_01_2026'!C27</f>
        <v/>
      </c>
      <c r="E28" s="28">
        <f>'VZC_01_2026'!D27</f>
        <v/>
      </c>
      <c r="F28" s="28">
        <f>'VZC_01_2026'!E27</f>
        <v/>
      </c>
      <c r="G28" s="28">
        <f>'VZC_01_2026'!F27</f>
        <v/>
      </c>
      <c r="H28" s="28">
        <f>'VZC_01_2026'!G27</f>
        <v/>
      </c>
      <c r="I28" s="27">
        <f>'VZC_01_2026'!H27</f>
        <v/>
      </c>
      <c r="J28" s="28">
        <f>'VZC_01_2026'!I27</f>
        <v/>
      </c>
      <c r="K28" s="27">
        <f>'VZC_01_2026'!J27</f>
        <v/>
      </c>
      <c r="L28" s="28" t="inlineStr"/>
      <c r="M28" s="27" t="inlineStr"/>
      <c r="N28" s="29">
        <f>'VZC_01_2026'!K27</f>
        <v/>
      </c>
      <c r="O28" s="29">
        <f>'VZC_01_2026'!L27</f>
        <v/>
      </c>
      <c r="P28" s="29">
        <f>'VZC_01_2026'!M27</f>
        <v/>
      </c>
      <c r="Q28" s="29">
        <f>'VZC_01_2026'!N27</f>
        <v/>
      </c>
      <c r="R28" s="29">
        <f>'VZC_01_2026'!O27</f>
        <v/>
      </c>
      <c r="S28" s="29">
        <f>'VZC_01_2026'!P27</f>
        <v/>
      </c>
      <c r="T28" s="29">
        <f>'VZC_01_2026'!Q27</f>
        <v/>
      </c>
      <c r="U28" s="29">
        <f>'VZC_01_2026'!R27</f>
        <v/>
      </c>
      <c r="V28" s="29" t="inlineStr"/>
      <c r="W28" s="29" t="inlineStr"/>
      <c r="X28" s="27">
        <f>'VZC_01_2026'!S27</f>
        <v/>
      </c>
      <c r="Y28" s="27">
        <f>'VZC_01_2026'!T27</f>
        <v/>
      </c>
      <c r="Z28" s="27" t="inlineStr">
        <is>
          <t>VZC_01_2026!27</t>
        </is>
      </c>
    </row>
    <row r="29">
      <c r="A29" s="27" t="inlineStr">
        <is>
          <t>VZC</t>
        </is>
      </c>
      <c r="B29" s="27">
        <f>'VZC_01_2026'!A28</f>
        <v/>
      </c>
      <c r="C29" s="27">
        <f>'VZC_01_2026'!B28</f>
        <v/>
      </c>
      <c r="D29" s="27">
        <f>'VZC_01_2026'!C28</f>
        <v/>
      </c>
      <c r="E29" s="28">
        <f>'VZC_01_2026'!D28</f>
        <v/>
      </c>
      <c r="F29" s="28">
        <f>'VZC_01_2026'!E28</f>
        <v/>
      </c>
      <c r="G29" s="28">
        <f>'VZC_01_2026'!F28</f>
        <v/>
      </c>
      <c r="H29" s="28">
        <f>'VZC_01_2026'!G28</f>
        <v/>
      </c>
      <c r="I29" s="27">
        <f>'VZC_01_2026'!H28</f>
        <v/>
      </c>
      <c r="J29" s="28">
        <f>'VZC_01_2026'!I28</f>
        <v/>
      </c>
      <c r="K29" s="27">
        <f>'VZC_01_2026'!J28</f>
        <v/>
      </c>
      <c r="L29" s="28" t="inlineStr"/>
      <c r="M29" s="27" t="inlineStr"/>
      <c r="N29" s="29">
        <f>'VZC_01_2026'!K28</f>
        <v/>
      </c>
      <c r="O29" s="29">
        <f>'VZC_01_2026'!L28</f>
        <v/>
      </c>
      <c r="P29" s="29">
        <f>'VZC_01_2026'!M28</f>
        <v/>
      </c>
      <c r="Q29" s="29">
        <f>'VZC_01_2026'!N28</f>
        <v/>
      </c>
      <c r="R29" s="29">
        <f>'VZC_01_2026'!O28</f>
        <v/>
      </c>
      <c r="S29" s="29">
        <f>'VZC_01_2026'!P28</f>
        <v/>
      </c>
      <c r="T29" s="29">
        <f>'VZC_01_2026'!Q28</f>
        <v/>
      </c>
      <c r="U29" s="29">
        <f>'VZC_01_2026'!R28</f>
        <v/>
      </c>
      <c r="V29" s="29" t="inlineStr"/>
      <c r="W29" s="29" t="inlineStr"/>
      <c r="X29" s="27">
        <f>'VZC_01_2026'!S28</f>
        <v/>
      </c>
      <c r="Y29" s="27">
        <f>'VZC_01_2026'!T28</f>
        <v/>
      </c>
      <c r="Z29" s="27" t="inlineStr">
        <is>
          <t>VZC_01_2026!28</t>
        </is>
      </c>
    </row>
    <row r="30">
      <c r="A30" s="27" t="inlineStr">
        <is>
          <t>VZC</t>
        </is>
      </c>
      <c r="B30" s="27">
        <f>'VZC_01_2026'!A29</f>
        <v/>
      </c>
      <c r="C30" s="27">
        <f>'VZC_01_2026'!B29</f>
        <v/>
      </c>
      <c r="D30" s="27">
        <f>'VZC_01_2026'!C29</f>
        <v/>
      </c>
      <c r="E30" s="28">
        <f>'VZC_01_2026'!D29</f>
        <v/>
      </c>
      <c r="F30" s="28">
        <f>'VZC_01_2026'!E29</f>
        <v/>
      </c>
      <c r="G30" s="28">
        <f>'VZC_01_2026'!F29</f>
        <v/>
      </c>
      <c r="H30" s="28">
        <f>'VZC_01_2026'!G29</f>
        <v/>
      </c>
      <c r="I30" s="27">
        <f>'VZC_01_2026'!H29</f>
        <v/>
      </c>
      <c r="J30" s="28">
        <f>'VZC_01_2026'!I29</f>
        <v/>
      </c>
      <c r="K30" s="27">
        <f>'VZC_01_2026'!J29</f>
        <v/>
      </c>
      <c r="L30" s="28" t="inlineStr"/>
      <c r="M30" s="27" t="inlineStr"/>
      <c r="N30" s="29">
        <f>'VZC_01_2026'!K29</f>
        <v/>
      </c>
      <c r="O30" s="29">
        <f>'VZC_01_2026'!L29</f>
        <v/>
      </c>
      <c r="P30" s="29">
        <f>'VZC_01_2026'!M29</f>
        <v/>
      </c>
      <c r="Q30" s="29">
        <f>'VZC_01_2026'!N29</f>
        <v/>
      </c>
      <c r="R30" s="29">
        <f>'VZC_01_2026'!O29</f>
        <v/>
      </c>
      <c r="S30" s="29">
        <f>'VZC_01_2026'!P29</f>
        <v/>
      </c>
      <c r="T30" s="29">
        <f>'VZC_01_2026'!Q29</f>
        <v/>
      </c>
      <c r="U30" s="29">
        <f>'VZC_01_2026'!R29</f>
        <v/>
      </c>
      <c r="V30" s="29" t="inlineStr"/>
      <c r="W30" s="29" t="inlineStr"/>
      <c r="X30" s="27">
        <f>'VZC_01_2026'!S29</f>
        <v/>
      </c>
      <c r="Y30" s="27">
        <f>'VZC_01_2026'!T29</f>
        <v/>
      </c>
      <c r="Z30" s="27" t="inlineStr">
        <is>
          <t>VZC_01_2026!29</t>
        </is>
      </c>
    </row>
    <row r="31">
      <c r="A31" s="27" t="inlineStr">
        <is>
          <t>VZC</t>
        </is>
      </c>
      <c r="B31" s="27">
        <f>'VZC_01_2026'!A30</f>
        <v/>
      </c>
      <c r="C31" s="27">
        <f>'VZC_01_2026'!B30</f>
        <v/>
      </c>
      <c r="D31" s="27">
        <f>'VZC_01_2026'!C30</f>
        <v/>
      </c>
      <c r="E31" s="28">
        <f>'VZC_01_2026'!D30</f>
        <v/>
      </c>
      <c r="F31" s="28">
        <f>'VZC_01_2026'!E30</f>
        <v/>
      </c>
      <c r="G31" s="28">
        <f>'VZC_01_2026'!F30</f>
        <v/>
      </c>
      <c r="H31" s="28">
        <f>'VZC_01_2026'!G30</f>
        <v/>
      </c>
      <c r="I31" s="27">
        <f>'VZC_01_2026'!H30</f>
        <v/>
      </c>
      <c r="J31" s="28">
        <f>'VZC_01_2026'!I30</f>
        <v/>
      </c>
      <c r="K31" s="27">
        <f>'VZC_01_2026'!J30</f>
        <v/>
      </c>
      <c r="L31" s="28" t="inlineStr"/>
      <c r="M31" s="27" t="inlineStr"/>
      <c r="N31" s="29">
        <f>'VZC_01_2026'!K30</f>
        <v/>
      </c>
      <c r="O31" s="29">
        <f>'VZC_01_2026'!L30</f>
        <v/>
      </c>
      <c r="P31" s="29">
        <f>'VZC_01_2026'!M30</f>
        <v/>
      </c>
      <c r="Q31" s="29">
        <f>'VZC_01_2026'!N30</f>
        <v/>
      </c>
      <c r="R31" s="29">
        <f>'VZC_01_2026'!O30</f>
        <v/>
      </c>
      <c r="S31" s="29">
        <f>'VZC_01_2026'!P30</f>
        <v/>
      </c>
      <c r="T31" s="29">
        <f>'VZC_01_2026'!Q30</f>
        <v/>
      </c>
      <c r="U31" s="29">
        <f>'VZC_01_2026'!R30</f>
        <v/>
      </c>
      <c r="V31" s="29" t="inlineStr"/>
      <c r="W31" s="29" t="inlineStr"/>
      <c r="X31" s="27">
        <f>'VZC_01_2026'!S30</f>
        <v/>
      </c>
      <c r="Y31" s="27">
        <f>'VZC_01_2026'!T30</f>
        <v/>
      </c>
      <c r="Z31" s="27" t="inlineStr">
        <is>
          <t>VZC_01_2026!30</t>
        </is>
      </c>
    </row>
    <row r="32">
      <c r="A32" s="27" t="inlineStr">
        <is>
          <t>VZC</t>
        </is>
      </c>
      <c r="B32" s="27">
        <f>'VZC_01_2026'!A31</f>
        <v/>
      </c>
      <c r="C32" s="27">
        <f>'VZC_01_2026'!B31</f>
        <v/>
      </c>
      <c r="D32" s="27">
        <f>'VZC_01_2026'!C31</f>
        <v/>
      </c>
      <c r="E32" s="28">
        <f>'VZC_01_2026'!D31</f>
        <v/>
      </c>
      <c r="F32" s="28">
        <f>'VZC_01_2026'!E31</f>
        <v/>
      </c>
      <c r="G32" s="28">
        <f>'VZC_01_2026'!F31</f>
        <v/>
      </c>
      <c r="H32" s="28">
        <f>'VZC_01_2026'!G31</f>
        <v/>
      </c>
      <c r="I32" s="27">
        <f>'VZC_01_2026'!H31</f>
        <v/>
      </c>
      <c r="J32" s="28">
        <f>'VZC_01_2026'!I31</f>
        <v/>
      </c>
      <c r="K32" s="27">
        <f>'VZC_01_2026'!J31</f>
        <v/>
      </c>
      <c r="L32" s="28" t="inlineStr"/>
      <c r="M32" s="27" t="inlineStr"/>
      <c r="N32" s="29">
        <f>'VZC_01_2026'!K31</f>
        <v/>
      </c>
      <c r="O32" s="29">
        <f>'VZC_01_2026'!L31</f>
        <v/>
      </c>
      <c r="P32" s="29">
        <f>'VZC_01_2026'!M31</f>
        <v/>
      </c>
      <c r="Q32" s="29">
        <f>'VZC_01_2026'!N31</f>
        <v/>
      </c>
      <c r="R32" s="29">
        <f>'VZC_01_2026'!O31</f>
        <v/>
      </c>
      <c r="S32" s="29">
        <f>'VZC_01_2026'!P31</f>
        <v/>
      </c>
      <c r="T32" s="29">
        <f>'VZC_01_2026'!Q31</f>
        <v/>
      </c>
      <c r="U32" s="29">
        <f>'VZC_01_2026'!R31</f>
        <v/>
      </c>
      <c r="V32" s="29" t="inlineStr"/>
      <c r="W32" s="29" t="inlineStr"/>
      <c r="X32" s="27">
        <f>'VZC_01_2026'!S31</f>
        <v/>
      </c>
      <c r="Y32" s="27">
        <f>'VZC_01_2026'!T31</f>
        <v/>
      </c>
      <c r="Z32" s="27" t="inlineStr">
        <is>
          <t>VZC_01_2026!31</t>
        </is>
      </c>
    </row>
    <row r="33">
      <c r="A33" s="27" t="inlineStr">
        <is>
          <t>VZC</t>
        </is>
      </c>
      <c r="B33" s="27">
        <f>'VZC_01_2026'!A32</f>
        <v/>
      </c>
      <c r="C33" s="27">
        <f>'VZC_01_2026'!B32</f>
        <v/>
      </c>
      <c r="D33" s="27">
        <f>'VZC_01_2026'!C32</f>
        <v/>
      </c>
      <c r="E33" s="28">
        <f>'VZC_01_2026'!D32</f>
        <v/>
      </c>
      <c r="F33" s="28">
        <f>'VZC_01_2026'!E32</f>
        <v/>
      </c>
      <c r="G33" s="28">
        <f>'VZC_01_2026'!F32</f>
        <v/>
      </c>
      <c r="H33" s="28">
        <f>'VZC_01_2026'!G32</f>
        <v/>
      </c>
      <c r="I33" s="27">
        <f>'VZC_01_2026'!H32</f>
        <v/>
      </c>
      <c r="J33" s="28">
        <f>'VZC_01_2026'!I32</f>
        <v/>
      </c>
      <c r="K33" s="27">
        <f>'VZC_01_2026'!J32</f>
        <v/>
      </c>
      <c r="L33" s="28" t="inlineStr"/>
      <c r="M33" s="27" t="inlineStr"/>
      <c r="N33" s="29">
        <f>'VZC_01_2026'!K32</f>
        <v/>
      </c>
      <c r="O33" s="29">
        <f>'VZC_01_2026'!L32</f>
        <v/>
      </c>
      <c r="P33" s="29">
        <f>'VZC_01_2026'!M32</f>
        <v/>
      </c>
      <c r="Q33" s="29">
        <f>'VZC_01_2026'!N32</f>
        <v/>
      </c>
      <c r="R33" s="29">
        <f>'VZC_01_2026'!O32</f>
        <v/>
      </c>
      <c r="S33" s="29">
        <f>'VZC_01_2026'!P32</f>
        <v/>
      </c>
      <c r="T33" s="29">
        <f>'VZC_01_2026'!Q32</f>
        <v/>
      </c>
      <c r="U33" s="29">
        <f>'VZC_01_2026'!R32</f>
        <v/>
      </c>
      <c r="V33" s="29" t="inlineStr"/>
      <c r="W33" s="29" t="inlineStr"/>
      <c r="X33" s="27">
        <f>'VZC_01_2026'!S32</f>
        <v/>
      </c>
      <c r="Y33" s="27">
        <f>'VZC_01_2026'!T32</f>
        <v/>
      </c>
      <c r="Z33" s="27" t="inlineStr">
        <is>
          <t>VZC_01_2026!32</t>
        </is>
      </c>
    </row>
    <row r="34">
      <c r="A34" s="27" t="inlineStr">
        <is>
          <t>VZC</t>
        </is>
      </c>
      <c r="B34" s="27">
        <f>'VZC_01_2026'!A33</f>
        <v/>
      </c>
      <c r="C34" s="27">
        <f>'VZC_01_2026'!B33</f>
        <v/>
      </c>
      <c r="D34" s="27">
        <f>'VZC_01_2026'!C33</f>
        <v/>
      </c>
      <c r="E34" s="28">
        <f>'VZC_01_2026'!D33</f>
        <v/>
      </c>
      <c r="F34" s="28">
        <f>'VZC_01_2026'!E33</f>
        <v/>
      </c>
      <c r="G34" s="28">
        <f>'VZC_01_2026'!F33</f>
        <v/>
      </c>
      <c r="H34" s="28">
        <f>'VZC_01_2026'!G33</f>
        <v/>
      </c>
      <c r="I34" s="27">
        <f>'VZC_01_2026'!H33</f>
        <v/>
      </c>
      <c r="J34" s="28">
        <f>'VZC_01_2026'!I33</f>
        <v/>
      </c>
      <c r="K34" s="27">
        <f>'VZC_01_2026'!J33</f>
        <v/>
      </c>
      <c r="L34" s="28" t="inlineStr"/>
      <c r="M34" s="27" t="inlineStr"/>
      <c r="N34" s="29">
        <f>'VZC_01_2026'!K33</f>
        <v/>
      </c>
      <c r="O34" s="29">
        <f>'VZC_01_2026'!L33</f>
        <v/>
      </c>
      <c r="P34" s="29">
        <f>'VZC_01_2026'!M33</f>
        <v/>
      </c>
      <c r="Q34" s="29">
        <f>'VZC_01_2026'!N33</f>
        <v/>
      </c>
      <c r="R34" s="29">
        <f>'VZC_01_2026'!O33</f>
        <v/>
      </c>
      <c r="S34" s="29">
        <f>'VZC_01_2026'!P33</f>
        <v/>
      </c>
      <c r="T34" s="29">
        <f>'VZC_01_2026'!Q33</f>
        <v/>
      </c>
      <c r="U34" s="29">
        <f>'VZC_01_2026'!R33</f>
        <v/>
      </c>
      <c r="V34" s="29" t="inlineStr"/>
      <c r="W34" s="29" t="inlineStr"/>
      <c r="X34" s="27">
        <f>'VZC_01_2026'!S33</f>
        <v/>
      </c>
      <c r="Y34" s="27">
        <f>'VZC_01_2026'!T33</f>
        <v/>
      </c>
      <c r="Z34" s="27" t="inlineStr">
        <is>
          <t>VZC_01_2026!33</t>
        </is>
      </c>
    </row>
    <row r="35">
      <c r="A35" s="27" t="inlineStr">
        <is>
          <t>VZC</t>
        </is>
      </c>
      <c r="B35" s="27">
        <f>'VZC_01_2026'!A34</f>
        <v/>
      </c>
      <c r="C35" s="27">
        <f>'VZC_01_2026'!B34</f>
        <v/>
      </c>
      <c r="D35" s="27">
        <f>'VZC_01_2026'!C34</f>
        <v/>
      </c>
      <c r="E35" s="28">
        <f>'VZC_01_2026'!D34</f>
        <v/>
      </c>
      <c r="F35" s="28">
        <f>'VZC_01_2026'!E34</f>
        <v/>
      </c>
      <c r="G35" s="28">
        <f>'VZC_01_2026'!F34</f>
        <v/>
      </c>
      <c r="H35" s="28">
        <f>'VZC_01_2026'!G34</f>
        <v/>
      </c>
      <c r="I35" s="27">
        <f>'VZC_01_2026'!H34</f>
        <v/>
      </c>
      <c r="J35" s="28">
        <f>'VZC_01_2026'!I34</f>
        <v/>
      </c>
      <c r="K35" s="27">
        <f>'VZC_01_2026'!J34</f>
        <v/>
      </c>
      <c r="L35" s="28" t="inlineStr"/>
      <c r="M35" s="27" t="inlineStr"/>
      <c r="N35" s="29">
        <f>'VZC_01_2026'!K34</f>
        <v/>
      </c>
      <c r="O35" s="29">
        <f>'VZC_01_2026'!L34</f>
        <v/>
      </c>
      <c r="P35" s="29">
        <f>'VZC_01_2026'!M34</f>
        <v/>
      </c>
      <c r="Q35" s="29">
        <f>'VZC_01_2026'!N34</f>
        <v/>
      </c>
      <c r="R35" s="29">
        <f>'VZC_01_2026'!O34</f>
        <v/>
      </c>
      <c r="S35" s="29">
        <f>'VZC_01_2026'!P34</f>
        <v/>
      </c>
      <c r="T35" s="29">
        <f>'VZC_01_2026'!Q34</f>
        <v/>
      </c>
      <c r="U35" s="29">
        <f>'VZC_01_2026'!R34</f>
        <v/>
      </c>
      <c r="V35" s="29" t="inlineStr"/>
      <c r="W35" s="29" t="inlineStr"/>
      <c r="X35" s="27">
        <f>'VZC_01_2026'!S34</f>
        <v/>
      </c>
      <c r="Y35" s="27">
        <f>'VZC_01_2026'!T34</f>
        <v/>
      </c>
      <c r="Z35" s="27" t="inlineStr">
        <is>
          <t>VZC_01_2026!34</t>
        </is>
      </c>
    </row>
    <row r="36">
      <c r="A36" s="27" t="inlineStr">
        <is>
          <t>VZC</t>
        </is>
      </c>
      <c r="B36" s="27">
        <f>'VZC_01_2026'!A35</f>
        <v/>
      </c>
      <c r="C36" s="27">
        <f>'VZC_01_2026'!B35</f>
        <v/>
      </c>
      <c r="D36" s="27">
        <f>'VZC_01_2026'!C35</f>
        <v/>
      </c>
      <c r="E36" s="28">
        <f>'VZC_01_2026'!D35</f>
        <v/>
      </c>
      <c r="F36" s="28">
        <f>'VZC_01_2026'!E35</f>
        <v/>
      </c>
      <c r="G36" s="28">
        <f>'VZC_01_2026'!F35</f>
        <v/>
      </c>
      <c r="H36" s="28">
        <f>'VZC_01_2026'!G35</f>
        <v/>
      </c>
      <c r="I36" s="27">
        <f>'VZC_01_2026'!H35</f>
        <v/>
      </c>
      <c r="J36" s="28">
        <f>'VZC_01_2026'!I35</f>
        <v/>
      </c>
      <c r="K36" s="27">
        <f>'VZC_01_2026'!J35</f>
        <v/>
      </c>
      <c r="L36" s="28" t="inlineStr"/>
      <c r="M36" s="27" t="inlineStr"/>
      <c r="N36" s="29">
        <f>'VZC_01_2026'!K35</f>
        <v/>
      </c>
      <c r="O36" s="29">
        <f>'VZC_01_2026'!L35</f>
        <v/>
      </c>
      <c r="P36" s="29">
        <f>'VZC_01_2026'!M35</f>
        <v/>
      </c>
      <c r="Q36" s="29">
        <f>'VZC_01_2026'!N35</f>
        <v/>
      </c>
      <c r="R36" s="29">
        <f>'VZC_01_2026'!O35</f>
        <v/>
      </c>
      <c r="S36" s="29">
        <f>'VZC_01_2026'!P35</f>
        <v/>
      </c>
      <c r="T36" s="29">
        <f>'VZC_01_2026'!Q35</f>
        <v/>
      </c>
      <c r="U36" s="29">
        <f>'VZC_01_2026'!R35</f>
        <v/>
      </c>
      <c r="V36" s="29" t="inlineStr"/>
      <c r="W36" s="29" t="inlineStr"/>
      <c r="X36" s="27">
        <f>'VZC_01_2026'!S35</f>
        <v/>
      </c>
      <c r="Y36" s="27">
        <f>'VZC_01_2026'!T35</f>
        <v/>
      </c>
      <c r="Z36" s="27" t="inlineStr">
        <is>
          <t>VZC_01_2026!35</t>
        </is>
      </c>
    </row>
    <row r="37">
      <c r="A37" s="27" t="inlineStr">
        <is>
          <t>VZC</t>
        </is>
      </c>
      <c r="B37" s="27">
        <f>'VZC_01_2026'!A36</f>
        <v/>
      </c>
      <c r="C37" s="27">
        <f>'VZC_01_2026'!B36</f>
        <v/>
      </c>
      <c r="D37" s="27">
        <f>'VZC_01_2026'!C36</f>
        <v/>
      </c>
      <c r="E37" s="28">
        <f>'VZC_01_2026'!D36</f>
        <v/>
      </c>
      <c r="F37" s="28">
        <f>'VZC_01_2026'!E36</f>
        <v/>
      </c>
      <c r="G37" s="28">
        <f>'VZC_01_2026'!F36</f>
        <v/>
      </c>
      <c r="H37" s="28">
        <f>'VZC_01_2026'!G36</f>
        <v/>
      </c>
      <c r="I37" s="27">
        <f>'VZC_01_2026'!H36</f>
        <v/>
      </c>
      <c r="J37" s="28">
        <f>'VZC_01_2026'!I36</f>
        <v/>
      </c>
      <c r="K37" s="27">
        <f>'VZC_01_2026'!J36</f>
        <v/>
      </c>
      <c r="L37" s="28" t="inlineStr"/>
      <c r="M37" s="27" t="inlineStr"/>
      <c r="N37" s="29">
        <f>'VZC_01_2026'!K36</f>
        <v/>
      </c>
      <c r="O37" s="29">
        <f>'VZC_01_2026'!L36</f>
        <v/>
      </c>
      <c r="P37" s="29">
        <f>'VZC_01_2026'!M36</f>
        <v/>
      </c>
      <c r="Q37" s="29">
        <f>'VZC_01_2026'!N36</f>
        <v/>
      </c>
      <c r="R37" s="29">
        <f>'VZC_01_2026'!O36</f>
        <v/>
      </c>
      <c r="S37" s="29">
        <f>'VZC_01_2026'!P36</f>
        <v/>
      </c>
      <c r="T37" s="29">
        <f>'VZC_01_2026'!Q36</f>
        <v/>
      </c>
      <c r="U37" s="29">
        <f>'VZC_01_2026'!R36</f>
        <v/>
      </c>
      <c r="V37" s="29" t="inlineStr"/>
      <c r="W37" s="29" t="inlineStr"/>
      <c r="X37" s="27">
        <f>'VZC_01_2026'!S36</f>
        <v/>
      </c>
      <c r="Y37" s="27">
        <f>'VZC_01_2026'!T36</f>
        <v/>
      </c>
      <c r="Z37" s="27" t="inlineStr">
        <is>
          <t>VZC_01_2026!36</t>
        </is>
      </c>
    </row>
    <row r="38">
      <c r="A38" s="27" t="inlineStr">
        <is>
          <t>VZC</t>
        </is>
      </c>
      <c r="B38" s="27">
        <f>'VZC_01_2026'!A37</f>
        <v/>
      </c>
      <c r="C38" s="27">
        <f>'VZC_01_2026'!B37</f>
        <v/>
      </c>
      <c r="D38" s="27">
        <f>'VZC_01_2026'!C37</f>
        <v/>
      </c>
      <c r="E38" s="28">
        <f>'VZC_01_2026'!D37</f>
        <v/>
      </c>
      <c r="F38" s="28">
        <f>'VZC_01_2026'!E37</f>
        <v/>
      </c>
      <c r="G38" s="28">
        <f>'VZC_01_2026'!F37</f>
        <v/>
      </c>
      <c r="H38" s="28">
        <f>'VZC_01_2026'!G37</f>
        <v/>
      </c>
      <c r="I38" s="27">
        <f>'VZC_01_2026'!H37</f>
        <v/>
      </c>
      <c r="J38" s="28">
        <f>'VZC_01_2026'!I37</f>
        <v/>
      </c>
      <c r="K38" s="27">
        <f>'VZC_01_2026'!J37</f>
        <v/>
      </c>
      <c r="L38" s="28" t="inlineStr"/>
      <c r="M38" s="27" t="inlineStr"/>
      <c r="N38" s="29">
        <f>'VZC_01_2026'!K37</f>
        <v/>
      </c>
      <c r="O38" s="29">
        <f>'VZC_01_2026'!L37</f>
        <v/>
      </c>
      <c r="P38" s="29">
        <f>'VZC_01_2026'!M37</f>
        <v/>
      </c>
      <c r="Q38" s="29">
        <f>'VZC_01_2026'!N37</f>
        <v/>
      </c>
      <c r="R38" s="29">
        <f>'VZC_01_2026'!O37</f>
        <v/>
      </c>
      <c r="S38" s="29">
        <f>'VZC_01_2026'!P37</f>
        <v/>
      </c>
      <c r="T38" s="29">
        <f>'VZC_01_2026'!Q37</f>
        <v/>
      </c>
      <c r="U38" s="29">
        <f>'VZC_01_2026'!R37</f>
        <v/>
      </c>
      <c r="V38" s="29" t="inlineStr"/>
      <c r="W38" s="29" t="inlineStr"/>
      <c r="X38" s="27">
        <f>'VZC_01_2026'!S37</f>
        <v/>
      </c>
      <c r="Y38" s="27">
        <f>'VZC_01_2026'!T37</f>
        <v/>
      </c>
      <c r="Z38" s="27" t="inlineStr">
        <is>
          <t>VZC_01_2026!37</t>
        </is>
      </c>
    </row>
    <row r="39">
      <c r="A39" s="27" t="inlineStr">
        <is>
          <t>VZC</t>
        </is>
      </c>
      <c r="B39" s="27">
        <f>'VZC_01_2026'!A38</f>
        <v/>
      </c>
      <c r="C39" s="27">
        <f>'VZC_01_2026'!B38</f>
        <v/>
      </c>
      <c r="D39" s="27">
        <f>'VZC_01_2026'!C38</f>
        <v/>
      </c>
      <c r="E39" s="28">
        <f>'VZC_01_2026'!D38</f>
        <v/>
      </c>
      <c r="F39" s="28">
        <f>'VZC_01_2026'!E38</f>
        <v/>
      </c>
      <c r="G39" s="28">
        <f>'VZC_01_2026'!F38</f>
        <v/>
      </c>
      <c r="H39" s="28">
        <f>'VZC_01_2026'!G38</f>
        <v/>
      </c>
      <c r="I39" s="27">
        <f>'VZC_01_2026'!H38</f>
        <v/>
      </c>
      <c r="J39" s="28">
        <f>'VZC_01_2026'!I38</f>
        <v/>
      </c>
      <c r="K39" s="27">
        <f>'VZC_01_2026'!J38</f>
        <v/>
      </c>
      <c r="L39" s="28" t="inlineStr"/>
      <c r="M39" s="27" t="inlineStr"/>
      <c r="N39" s="29">
        <f>'VZC_01_2026'!K38</f>
        <v/>
      </c>
      <c r="O39" s="29">
        <f>'VZC_01_2026'!L38</f>
        <v/>
      </c>
      <c r="P39" s="29">
        <f>'VZC_01_2026'!M38</f>
        <v/>
      </c>
      <c r="Q39" s="29">
        <f>'VZC_01_2026'!N38</f>
        <v/>
      </c>
      <c r="R39" s="29">
        <f>'VZC_01_2026'!O38</f>
        <v/>
      </c>
      <c r="S39" s="29">
        <f>'VZC_01_2026'!P38</f>
        <v/>
      </c>
      <c r="T39" s="29">
        <f>'VZC_01_2026'!Q38</f>
        <v/>
      </c>
      <c r="U39" s="29">
        <f>'VZC_01_2026'!R38</f>
        <v/>
      </c>
      <c r="V39" s="29" t="inlineStr"/>
      <c r="W39" s="29" t="inlineStr"/>
      <c r="X39" s="27">
        <f>'VZC_01_2026'!S38</f>
        <v/>
      </c>
      <c r="Y39" s="27">
        <f>'VZC_01_2026'!T38</f>
        <v/>
      </c>
      <c r="Z39" s="27" t="inlineStr">
        <is>
          <t>VZC_01_2026!38</t>
        </is>
      </c>
    </row>
    <row r="40">
      <c r="A40" s="27" t="inlineStr">
        <is>
          <t>VZC</t>
        </is>
      </c>
      <c r="B40" s="27">
        <f>'VZC_01_2026'!A39</f>
        <v/>
      </c>
      <c r="C40" s="27">
        <f>'VZC_01_2026'!B39</f>
        <v/>
      </c>
      <c r="D40" s="27">
        <f>'VZC_01_2026'!C39</f>
        <v/>
      </c>
      <c r="E40" s="28">
        <f>'VZC_01_2026'!D39</f>
        <v/>
      </c>
      <c r="F40" s="28">
        <f>'VZC_01_2026'!E39</f>
        <v/>
      </c>
      <c r="G40" s="28">
        <f>'VZC_01_2026'!F39</f>
        <v/>
      </c>
      <c r="H40" s="28">
        <f>'VZC_01_2026'!G39</f>
        <v/>
      </c>
      <c r="I40" s="27">
        <f>'VZC_01_2026'!H39</f>
        <v/>
      </c>
      <c r="J40" s="28">
        <f>'VZC_01_2026'!I39</f>
        <v/>
      </c>
      <c r="K40" s="27">
        <f>'VZC_01_2026'!J39</f>
        <v/>
      </c>
      <c r="L40" s="28" t="inlineStr"/>
      <c r="M40" s="27" t="inlineStr"/>
      <c r="N40" s="29">
        <f>'VZC_01_2026'!K39</f>
        <v/>
      </c>
      <c r="O40" s="29">
        <f>'VZC_01_2026'!L39</f>
        <v/>
      </c>
      <c r="P40" s="29">
        <f>'VZC_01_2026'!M39</f>
        <v/>
      </c>
      <c r="Q40" s="29">
        <f>'VZC_01_2026'!N39</f>
        <v/>
      </c>
      <c r="R40" s="29">
        <f>'VZC_01_2026'!O39</f>
        <v/>
      </c>
      <c r="S40" s="29">
        <f>'VZC_01_2026'!P39</f>
        <v/>
      </c>
      <c r="T40" s="29">
        <f>'VZC_01_2026'!Q39</f>
        <v/>
      </c>
      <c r="U40" s="29">
        <f>'VZC_01_2026'!R39</f>
        <v/>
      </c>
      <c r="V40" s="29" t="inlineStr"/>
      <c r="W40" s="29" t="inlineStr"/>
      <c r="X40" s="27">
        <f>'VZC_01_2026'!S39</f>
        <v/>
      </c>
      <c r="Y40" s="27">
        <f>'VZC_01_2026'!T39</f>
        <v/>
      </c>
      <c r="Z40" s="27" t="inlineStr">
        <is>
          <t>VZC_01_2026!39</t>
        </is>
      </c>
    </row>
    <row r="41">
      <c r="A41" s="27" t="inlineStr">
        <is>
          <t>VZC</t>
        </is>
      </c>
      <c r="B41" s="27">
        <f>'VZC_01_2026'!A40</f>
        <v/>
      </c>
      <c r="C41" s="27">
        <f>'VZC_01_2026'!B40</f>
        <v/>
      </c>
      <c r="D41" s="27">
        <f>'VZC_01_2026'!C40</f>
        <v/>
      </c>
      <c r="E41" s="28">
        <f>'VZC_01_2026'!D40</f>
        <v/>
      </c>
      <c r="F41" s="28">
        <f>'VZC_01_2026'!E40</f>
        <v/>
      </c>
      <c r="G41" s="28">
        <f>'VZC_01_2026'!F40</f>
        <v/>
      </c>
      <c r="H41" s="28">
        <f>'VZC_01_2026'!G40</f>
        <v/>
      </c>
      <c r="I41" s="27">
        <f>'VZC_01_2026'!H40</f>
        <v/>
      </c>
      <c r="J41" s="28">
        <f>'VZC_01_2026'!I40</f>
        <v/>
      </c>
      <c r="K41" s="27">
        <f>'VZC_01_2026'!J40</f>
        <v/>
      </c>
      <c r="L41" s="28" t="inlineStr"/>
      <c r="M41" s="27" t="inlineStr"/>
      <c r="N41" s="29">
        <f>'VZC_01_2026'!K40</f>
        <v/>
      </c>
      <c r="O41" s="29">
        <f>'VZC_01_2026'!L40</f>
        <v/>
      </c>
      <c r="P41" s="29">
        <f>'VZC_01_2026'!M40</f>
        <v/>
      </c>
      <c r="Q41" s="29">
        <f>'VZC_01_2026'!N40</f>
        <v/>
      </c>
      <c r="R41" s="29">
        <f>'VZC_01_2026'!O40</f>
        <v/>
      </c>
      <c r="S41" s="29">
        <f>'VZC_01_2026'!P40</f>
        <v/>
      </c>
      <c r="T41" s="29">
        <f>'VZC_01_2026'!Q40</f>
        <v/>
      </c>
      <c r="U41" s="29">
        <f>'VZC_01_2026'!R40</f>
        <v/>
      </c>
      <c r="V41" s="29" t="inlineStr"/>
      <c r="W41" s="29" t="inlineStr"/>
      <c r="X41" s="27">
        <f>'VZC_01_2026'!S40</f>
        <v/>
      </c>
      <c r="Y41" s="27">
        <f>'VZC_01_2026'!T40</f>
        <v/>
      </c>
      <c r="Z41" s="27" t="inlineStr">
        <is>
          <t>VZC_01_2026!40</t>
        </is>
      </c>
    </row>
    <row r="42">
      <c r="A42" s="27" t="inlineStr">
        <is>
          <t>VZC</t>
        </is>
      </c>
      <c r="B42" s="27">
        <f>'VZC_01_2026'!A41</f>
        <v/>
      </c>
      <c r="C42" s="27">
        <f>'VZC_01_2026'!B41</f>
        <v/>
      </c>
      <c r="D42" s="27">
        <f>'VZC_01_2026'!C41</f>
        <v/>
      </c>
      <c r="E42" s="28">
        <f>'VZC_01_2026'!D41</f>
        <v/>
      </c>
      <c r="F42" s="28">
        <f>'VZC_01_2026'!E41</f>
        <v/>
      </c>
      <c r="G42" s="28">
        <f>'VZC_01_2026'!F41</f>
        <v/>
      </c>
      <c r="H42" s="28">
        <f>'VZC_01_2026'!G41</f>
        <v/>
      </c>
      <c r="I42" s="27">
        <f>'VZC_01_2026'!H41</f>
        <v/>
      </c>
      <c r="J42" s="28">
        <f>'VZC_01_2026'!I41</f>
        <v/>
      </c>
      <c r="K42" s="27">
        <f>'VZC_01_2026'!J41</f>
        <v/>
      </c>
      <c r="L42" s="28" t="inlineStr"/>
      <c r="M42" s="27" t="inlineStr"/>
      <c r="N42" s="29">
        <f>'VZC_01_2026'!K41</f>
        <v/>
      </c>
      <c r="O42" s="29">
        <f>'VZC_01_2026'!L41</f>
        <v/>
      </c>
      <c r="P42" s="29">
        <f>'VZC_01_2026'!M41</f>
        <v/>
      </c>
      <c r="Q42" s="29">
        <f>'VZC_01_2026'!N41</f>
        <v/>
      </c>
      <c r="R42" s="29">
        <f>'VZC_01_2026'!O41</f>
        <v/>
      </c>
      <c r="S42" s="29">
        <f>'VZC_01_2026'!P41</f>
        <v/>
      </c>
      <c r="T42" s="29">
        <f>'VZC_01_2026'!Q41</f>
        <v/>
      </c>
      <c r="U42" s="29">
        <f>'VZC_01_2026'!R41</f>
        <v/>
      </c>
      <c r="V42" s="29" t="inlineStr"/>
      <c r="W42" s="29" t="inlineStr"/>
      <c r="X42" s="27">
        <f>'VZC_01_2026'!S41</f>
        <v/>
      </c>
      <c r="Y42" s="27">
        <f>'VZC_01_2026'!T41</f>
        <v/>
      </c>
      <c r="Z42" s="27" t="inlineStr">
        <is>
          <t>VZC_01_2026!41</t>
        </is>
      </c>
    </row>
    <row r="43">
      <c r="A43" s="27" t="inlineStr">
        <is>
          <t>VZC</t>
        </is>
      </c>
      <c r="B43" s="27">
        <f>'VZC_01_2026'!A42</f>
        <v/>
      </c>
      <c r="C43" s="27">
        <f>'VZC_01_2026'!B42</f>
        <v/>
      </c>
      <c r="D43" s="27">
        <f>'VZC_01_2026'!C42</f>
        <v/>
      </c>
      <c r="E43" s="28">
        <f>'VZC_01_2026'!D42</f>
        <v/>
      </c>
      <c r="F43" s="28">
        <f>'VZC_01_2026'!E42</f>
        <v/>
      </c>
      <c r="G43" s="28">
        <f>'VZC_01_2026'!F42</f>
        <v/>
      </c>
      <c r="H43" s="28">
        <f>'VZC_01_2026'!G42</f>
        <v/>
      </c>
      <c r="I43" s="27">
        <f>'VZC_01_2026'!H42</f>
        <v/>
      </c>
      <c r="J43" s="28">
        <f>'VZC_01_2026'!I42</f>
        <v/>
      </c>
      <c r="K43" s="27">
        <f>'VZC_01_2026'!J42</f>
        <v/>
      </c>
      <c r="L43" s="28" t="inlineStr"/>
      <c r="M43" s="27" t="inlineStr"/>
      <c r="N43" s="29">
        <f>'VZC_01_2026'!K42</f>
        <v/>
      </c>
      <c r="O43" s="29">
        <f>'VZC_01_2026'!L42</f>
        <v/>
      </c>
      <c r="P43" s="29">
        <f>'VZC_01_2026'!M42</f>
        <v/>
      </c>
      <c r="Q43" s="29">
        <f>'VZC_01_2026'!N42</f>
        <v/>
      </c>
      <c r="R43" s="29">
        <f>'VZC_01_2026'!O42</f>
        <v/>
      </c>
      <c r="S43" s="29">
        <f>'VZC_01_2026'!P42</f>
        <v/>
      </c>
      <c r="T43" s="29">
        <f>'VZC_01_2026'!Q42</f>
        <v/>
      </c>
      <c r="U43" s="29">
        <f>'VZC_01_2026'!R42</f>
        <v/>
      </c>
      <c r="V43" s="29" t="inlineStr"/>
      <c r="W43" s="29" t="inlineStr"/>
      <c r="X43" s="27">
        <f>'VZC_01_2026'!S42</f>
        <v/>
      </c>
      <c r="Y43" s="27">
        <f>'VZC_01_2026'!T42</f>
        <v/>
      </c>
      <c r="Z43" s="27" t="inlineStr">
        <is>
          <t>VZC_01_2026!42</t>
        </is>
      </c>
    </row>
    <row r="44">
      <c r="A44" s="27" t="inlineStr">
        <is>
          <t>VZC</t>
        </is>
      </c>
      <c r="B44" s="27">
        <f>'VZC_01_2026'!A43</f>
        <v/>
      </c>
      <c r="C44" s="27">
        <f>'VZC_01_2026'!B43</f>
        <v/>
      </c>
      <c r="D44" s="27">
        <f>'VZC_01_2026'!C43</f>
        <v/>
      </c>
      <c r="E44" s="28">
        <f>'VZC_01_2026'!D43</f>
        <v/>
      </c>
      <c r="F44" s="28">
        <f>'VZC_01_2026'!E43</f>
        <v/>
      </c>
      <c r="G44" s="28">
        <f>'VZC_01_2026'!F43</f>
        <v/>
      </c>
      <c r="H44" s="28">
        <f>'VZC_01_2026'!G43</f>
        <v/>
      </c>
      <c r="I44" s="27">
        <f>'VZC_01_2026'!H43</f>
        <v/>
      </c>
      <c r="J44" s="28">
        <f>'VZC_01_2026'!I43</f>
        <v/>
      </c>
      <c r="K44" s="27">
        <f>'VZC_01_2026'!J43</f>
        <v/>
      </c>
      <c r="L44" s="28" t="inlineStr"/>
      <c r="M44" s="27" t="inlineStr"/>
      <c r="N44" s="29">
        <f>'VZC_01_2026'!K43</f>
        <v/>
      </c>
      <c r="O44" s="29">
        <f>'VZC_01_2026'!L43</f>
        <v/>
      </c>
      <c r="P44" s="29">
        <f>'VZC_01_2026'!M43</f>
        <v/>
      </c>
      <c r="Q44" s="29">
        <f>'VZC_01_2026'!N43</f>
        <v/>
      </c>
      <c r="R44" s="29">
        <f>'VZC_01_2026'!O43</f>
        <v/>
      </c>
      <c r="S44" s="29">
        <f>'VZC_01_2026'!P43</f>
        <v/>
      </c>
      <c r="T44" s="29">
        <f>'VZC_01_2026'!Q43</f>
        <v/>
      </c>
      <c r="U44" s="29">
        <f>'VZC_01_2026'!R43</f>
        <v/>
      </c>
      <c r="V44" s="29" t="inlineStr"/>
      <c r="W44" s="29" t="inlineStr"/>
      <c r="X44" s="27">
        <f>'VZC_01_2026'!S43</f>
        <v/>
      </c>
      <c r="Y44" s="27">
        <f>'VZC_01_2026'!T43</f>
        <v/>
      </c>
      <c r="Z44" s="27" t="inlineStr">
        <is>
          <t>VZC_01_2026!43</t>
        </is>
      </c>
    </row>
    <row r="45">
      <c r="A45" s="27" t="inlineStr">
        <is>
          <t>VZC</t>
        </is>
      </c>
      <c r="B45" s="27">
        <f>'VZC_01_2026'!A44</f>
        <v/>
      </c>
      <c r="C45" s="27">
        <f>'VZC_01_2026'!B44</f>
        <v/>
      </c>
      <c r="D45" s="27">
        <f>'VZC_01_2026'!C44</f>
        <v/>
      </c>
      <c r="E45" s="28">
        <f>'VZC_01_2026'!D44</f>
        <v/>
      </c>
      <c r="F45" s="28">
        <f>'VZC_01_2026'!E44</f>
        <v/>
      </c>
      <c r="G45" s="28">
        <f>'VZC_01_2026'!F44</f>
        <v/>
      </c>
      <c r="H45" s="28">
        <f>'VZC_01_2026'!G44</f>
        <v/>
      </c>
      <c r="I45" s="27">
        <f>'VZC_01_2026'!H44</f>
        <v/>
      </c>
      <c r="J45" s="28">
        <f>'VZC_01_2026'!I44</f>
        <v/>
      </c>
      <c r="K45" s="27">
        <f>'VZC_01_2026'!J44</f>
        <v/>
      </c>
      <c r="L45" s="28" t="inlineStr"/>
      <c r="M45" s="27" t="inlineStr"/>
      <c r="N45" s="29">
        <f>'VZC_01_2026'!K44</f>
        <v/>
      </c>
      <c r="O45" s="29">
        <f>'VZC_01_2026'!L44</f>
        <v/>
      </c>
      <c r="P45" s="29">
        <f>'VZC_01_2026'!M44</f>
        <v/>
      </c>
      <c r="Q45" s="29">
        <f>'VZC_01_2026'!N44</f>
        <v/>
      </c>
      <c r="R45" s="29">
        <f>'VZC_01_2026'!O44</f>
        <v/>
      </c>
      <c r="S45" s="29">
        <f>'VZC_01_2026'!P44</f>
        <v/>
      </c>
      <c r="T45" s="29">
        <f>'VZC_01_2026'!Q44</f>
        <v/>
      </c>
      <c r="U45" s="29">
        <f>'VZC_01_2026'!R44</f>
        <v/>
      </c>
      <c r="V45" s="29" t="inlineStr"/>
      <c r="W45" s="29" t="inlineStr"/>
      <c r="X45" s="27">
        <f>'VZC_01_2026'!S44</f>
        <v/>
      </c>
      <c r="Y45" s="27">
        <f>'VZC_01_2026'!T44</f>
        <v/>
      </c>
      <c r="Z45" s="27" t="inlineStr">
        <is>
          <t>VZC_01_2026!44</t>
        </is>
      </c>
    </row>
    <row r="46">
      <c r="A46" s="27" t="inlineStr">
        <is>
          <t>VZC</t>
        </is>
      </c>
      <c r="B46" s="27">
        <f>'VZC_01_2026'!A45</f>
        <v/>
      </c>
      <c r="C46" s="27">
        <f>'VZC_01_2026'!B45</f>
        <v/>
      </c>
      <c r="D46" s="27">
        <f>'VZC_01_2026'!C45</f>
        <v/>
      </c>
      <c r="E46" s="28">
        <f>'VZC_01_2026'!D45</f>
        <v/>
      </c>
      <c r="F46" s="28">
        <f>'VZC_01_2026'!E45</f>
        <v/>
      </c>
      <c r="G46" s="28">
        <f>'VZC_01_2026'!F45</f>
        <v/>
      </c>
      <c r="H46" s="28">
        <f>'VZC_01_2026'!G45</f>
        <v/>
      </c>
      <c r="I46" s="27">
        <f>'VZC_01_2026'!H45</f>
        <v/>
      </c>
      <c r="J46" s="28">
        <f>'VZC_01_2026'!I45</f>
        <v/>
      </c>
      <c r="K46" s="27">
        <f>'VZC_01_2026'!J45</f>
        <v/>
      </c>
      <c r="L46" s="28" t="inlineStr"/>
      <c r="M46" s="27" t="inlineStr"/>
      <c r="N46" s="29">
        <f>'VZC_01_2026'!K45</f>
        <v/>
      </c>
      <c r="O46" s="29">
        <f>'VZC_01_2026'!L45</f>
        <v/>
      </c>
      <c r="P46" s="29">
        <f>'VZC_01_2026'!M45</f>
        <v/>
      </c>
      <c r="Q46" s="29">
        <f>'VZC_01_2026'!N45</f>
        <v/>
      </c>
      <c r="R46" s="29">
        <f>'VZC_01_2026'!O45</f>
        <v/>
      </c>
      <c r="S46" s="29">
        <f>'VZC_01_2026'!P45</f>
        <v/>
      </c>
      <c r="T46" s="29">
        <f>'VZC_01_2026'!Q45</f>
        <v/>
      </c>
      <c r="U46" s="29">
        <f>'VZC_01_2026'!R45</f>
        <v/>
      </c>
      <c r="V46" s="29" t="inlineStr"/>
      <c r="W46" s="29" t="inlineStr"/>
      <c r="X46" s="27">
        <f>'VZC_01_2026'!S45</f>
        <v/>
      </c>
      <c r="Y46" s="27">
        <f>'VZC_01_2026'!T45</f>
        <v/>
      </c>
      <c r="Z46" s="27" t="inlineStr">
        <is>
          <t>VZC_01_2026!45</t>
        </is>
      </c>
    </row>
    <row r="47">
      <c r="A47" s="27" t="inlineStr">
        <is>
          <t>VZC</t>
        </is>
      </c>
      <c r="B47" s="27">
        <f>'VZC_01_2026'!A46</f>
        <v/>
      </c>
      <c r="C47" s="27">
        <f>'VZC_01_2026'!B46</f>
        <v/>
      </c>
      <c r="D47" s="27">
        <f>'VZC_01_2026'!C46</f>
        <v/>
      </c>
      <c r="E47" s="28">
        <f>'VZC_01_2026'!D46</f>
        <v/>
      </c>
      <c r="F47" s="28">
        <f>'VZC_01_2026'!E46</f>
        <v/>
      </c>
      <c r="G47" s="28">
        <f>'VZC_01_2026'!F46</f>
        <v/>
      </c>
      <c r="H47" s="28">
        <f>'VZC_01_2026'!G46</f>
        <v/>
      </c>
      <c r="I47" s="27">
        <f>'VZC_01_2026'!H46</f>
        <v/>
      </c>
      <c r="J47" s="28">
        <f>'VZC_01_2026'!I46</f>
        <v/>
      </c>
      <c r="K47" s="27">
        <f>'VZC_01_2026'!J46</f>
        <v/>
      </c>
      <c r="L47" s="28" t="inlineStr"/>
      <c r="M47" s="27" t="inlineStr"/>
      <c r="N47" s="29">
        <f>'VZC_01_2026'!K46</f>
        <v/>
      </c>
      <c r="O47" s="29">
        <f>'VZC_01_2026'!L46</f>
        <v/>
      </c>
      <c r="P47" s="29">
        <f>'VZC_01_2026'!M46</f>
        <v/>
      </c>
      <c r="Q47" s="29">
        <f>'VZC_01_2026'!N46</f>
        <v/>
      </c>
      <c r="R47" s="29">
        <f>'VZC_01_2026'!O46</f>
        <v/>
      </c>
      <c r="S47" s="29">
        <f>'VZC_01_2026'!P46</f>
        <v/>
      </c>
      <c r="T47" s="29">
        <f>'VZC_01_2026'!Q46</f>
        <v/>
      </c>
      <c r="U47" s="29">
        <f>'VZC_01_2026'!R46</f>
        <v/>
      </c>
      <c r="V47" s="29" t="inlineStr"/>
      <c r="W47" s="29" t="inlineStr"/>
      <c r="X47" s="27">
        <f>'VZC_01_2026'!S46</f>
        <v/>
      </c>
      <c r="Y47" s="27">
        <f>'VZC_01_2026'!T46</f>
        <v/>
      </c>
      <c r="Z47" s="27" t="inlineStr">
        <is>
          <t>VZC_01_2026!46</t>
        </is>
      </c>
    </row>
    <row r="48">
      <c r="A48" s="27" t="inlineStr">
        <is>
          <t>VZC</t>
        </is>
      </c>
      <c r="B48" s="27">
        <f>'VZC_01_2026'!A47</f>
        <v/>
      </c>
      <c r="C48" s="27">
        <f>'VZC_01_2026'!B47</f>
        <v/>
      </c>
      <c r="D48" s="27">
        <f>'VZC_01_2026'!C47</f>
        <v/>
      </c>
      <c r="E48" s="28">
        <f>'VZC_01_2026'!D47</f>
        <v/>
      </c>
      <c r="F48" s="28">
        <f>'VZC_01_2026'!E47</f>
        <v/>
      </c>
      <c r="G48" s="28">
        <f>'VZC_01_2026'!F47</f>
        <v/>
      </c>
      <c r="H48" s="28">
        <f>'VZC_01_2026'!G47</f>
        <v/>
      </c>
      <c r="I48" s="27">
        <f>'VZC_01_2026'!H47</f>
        <v/>
      </c>
      <c r="J48" s="28">
        <f>'VZC_01_2026'!I47</f>
        <v/>
      </c>
      <c r="K48" s="27">
        <f>'VZC_01_2026'!J47</f>
        <v/>
      </c>
      <c r="L48" s="28" t="inlineStr"/>
      <c r="M48" s="27" t="inlineStr"/>
      <c r="N48" s="29">
        <f>'VZC_01_2026'!K47</f>
        <v/>
      </c>
      <c r="O48" s="29">
        <f>'VZC_01_2026'!L47</f>
        <v/>
      </c>
      <c r="P48" s="29">
        <f>'VZC_01_2026'!M47</f>
        <v/>
      </c>
      <c r="Q48" s="29">
        <f>'VZC_01_2026'!N47</f>
        <v/>
      </c>
      <c r="R48" s="29">
        <f>'VZC_01_2026'!O47</f>
        <v/>
      </c>
      <c r="S48" s="29">
        <f>'VZC_01_2026'!P47</f>
        <v/>
      </c>
      <c r="T48" s="29">
        <f>'VZC_01_2026'!Q47</f>
        <v/>
      </c>
      <c r="U48" s="29">
        <f>'VZC_01_2026'!R47</f>
        <v/>
      </c>
      <c r="V48" s="29" t="inlineStr"/>
      <c r="W48" s="29" t="inlineStr"/>
      <c r="X48" s="27">
        <f>'VZC_01_2026'!S47</f>
        <v/>
      </c>
      <c r="Y48" s="27">
        <f>'VZC_01_2026'!T47</f>
        <v/>
      </c>
      <c r="Z48" s="27" t="inlineStr">
        <is>
          <t>VZC_01_2026!47</t>
        </is>
      </c>
    </row>
    <row r="49">
      <c r="A49" s="27" t="inlineStr">
        <is>
          <t>VZC</t>
        </is>
      </c>
      <c r="B49" s="27">
        <f>'VZC_01_2026'!A48</f>
        <v/>
      </c>
      <c r="C49" s="27">
        <f>'VZC_01_2026'!B48</f>
        <v/>
      </c>
      <c r="D49" s="27">
        <f>'VZC_01_2026'!C48</f>
        <v/>
      </c>
      <c r="E49" s="28">
        <f>'VZC_01_2026'!D48</f>
        <v/>
      </c>
      <c r="F49" s="28">
        <f>'VZC_01_2026'!E48</f>
        <v/>
      </c>
      <c r="G49" s="28">
        <f>'VZC_01_2026'!F48</f>
        <v/>
      </c>
      <c r="H49" s="28">
        <f>'VZC_01_2026'!G48</f>
        <v/>
      </c>
      <c r="I49" s="27">
        <f>'VZC_01_2026'!H48</f>
        <v/>
      </c>
      <c r="J49" s="28">
        <f>'VZC_01_2026'!I48</f>
        <v/>
      </c>
      <c r="K49" s="27">
        <f>'VZC_01_2026'!J48</f>
        <v/>
      </c>
      <c r="L49" s="28" t="inlineStr"/>
      <c r="M49" s="27" t="inlineStr"/>
      <c r="N49" s="29">
        <f>'VZC_01_2026'!K48</f>
        <v/>
      </c>
      <c r="O49" s="29">
        <f>'VZC_01_2026'!L48</f>
        <v/>
      </c>
      <c r="P49" s="29">
        <f>'VZC_01_2026'!M48</f>
        <v/>
      </c>
      <c r="Q49" s="29">
        <f>'VZC_01_2026'!N48</f>
        <v/>
      </c>
      <c r="R49" s="29">
        <f>'VZC_01_2026'!O48</f>
        <v/>
      </c>
      <c r="S49" s="29">
        <f>'VZC_01_2026'!P48</f>
        <v/>
      </c>
      <c r="T49" s="29">
        <f>'VZC_01_2026'!Q48</f>
        <v/>
      </c>
      <c r="U49" s="29">
        <f>'VZC_01_2026'!R48</f>
        <v/>
      </c>
      <c r="V49" s="29" t="inlineStr"/>
      <c r="W49" s="29" t="inlineStr"/>
      <c r="X49" s="27">
        <f>'VZC_01_2026'!S48</f>
        <v/>
      </c>
      <c r="Y49" s="27">
        <f>'VZC_01_2026'!T48</f>
        <v/>
      </c>
      <c r="Z49" s="27" t="inlineStr">
        <is>
          <t>VZC_01_2026!48</t>
        </is>
      </c>
    </row>
    <row r="50">
      <c r="A50" s="27" t="inlineStr">
        <is>
          <t>VZC</t>
        </is>
      </c>
      <c r="B50" s="27">
        <f>'VZC_01_2026'!A49</f>
        <v/>
      </c>
      <c r="C50" s="27">
        <f>'VZC_01_2026'!B49</f>
        <v/>
      </c>
      <c r="D50" s="27">
        <f>'VZC_01_2026'!C49</f>
        <v/>
      </c>
      <c r="E50" s="28">
        <f>'VZC_01_2026'!D49</f>
        <v/>
      </c>
      <c r="F50" s="28">
        <f>'VZC_01_2026'!E49</f>
        <v/>
      </c>
      <c r="G50" s="28">
        <f>'VZC_01_2026'!F49</f>
        <v/>
      </c>
      <c r="H50" s="28">
        <f>'VZC_01_2026'!G49</f>
        <v/>
      </c>
      <c r="I50" s="27">
        <f>'VZC_01_2026'!H49</f>
        <v/>
      </c>
      <c r="J50" s="28">
        <f>'VZC_01_2026'!I49</f>
        <v/>
      </c>
      <c r="K50" s="27">
        <f>'VZC_01_2026'!J49</f>
        <v/>
      </c>
      <c r="L50" s="28" t="inlineStr"/>
      <c r="M50" s="27" t="inlineStr"/>
      <c r="N50" s="29">
        <f>'VZC_01_2026'!K49</f>
        <v/>
      </c>
      <c r="O50" s="29">
        <f>'VZC_01_2026'!L49</f>
        <v/>
      </c>
      <c r="P50" s="29">
        <f>'VZC_01_2026'!M49</f>
        <v/>
      </c>
      <c r="Q50" s="29">
        <f>'VZC_01_2026'!N49</f>
        <v/>
      </c>
      <c r="R50" s="29">
        <f>'VZC_01_2026'!O49</f>
        <v/>
      </c>
      <c r="S50" s="29">
        <f>'VZC_01_2026'!P49</f>
        <v/>
      </c>
      <c r="T50" s="29">
        <f>'VZC_01_2026'!Q49</f>
        <v/>
      </c>
      <c r="U50" s="29">
        <f>'VZC_01_2026'!R49</f>
        <v/>
      </c>
      <c r="V50" s="29" t="inlineStr"/>
      <c r="W50" s="29" t="inlineStr"/>
      <c r="X50" s="27">
        <f>'VZC_01_2026'!S49</f>
        <v/>
      </c>
      <c r="Y50" s="27">
        <f>'VZC_01_2026'!T49</f>
        <v/>
      </c>
      <c r="Z50" s="27" t="inlineStr">
        <is>
          <t>VZC_01_2026!49</t>
        </is>
      </c>
    </row>
    <row r="51">
      <c r="A51" s="27" t="inlineStr">
        <is>
          <t>VZC</t>
        </is>
      </c>
      <c r="B51" s="27">
        <f>'VZC_01_2026'!A50</f>
        <v/>
      </c>
      <c r="C51" s="27">
        <f>'VZC_01_2026'!B50</f>
        <v/>
      </c>
      <c r="D51" s="27">
        <f>'VZC_01_2026'!C50</f>
        <v/>
      </c>
      <c r="E51" s="28">
        <f>'VZC_01_2026'!D50</f>
        <v/>
      </c>
      <c r="F51" s="28">
        <f>'VZC_01_2026'!E50</f>
        <v/>
      </c>
      <c r="G51" s="28">
        <f>'VZC_01_2026'!F50</f>
        <v/>
      </c>
      <c r="H51" s="28">
        <f>'VZC_01_2026'!G50</f>
        <v/>
      </c>
      <c r="I51" s="27">
        <f>'VZC_01_2026'!H50</f>
        <v/>
      </c>
      <c r="J51" s="28">
        <f>'VZC_01_2026'!I50</f>
        <v/>
      </c>
      <c r="K51" s="27">
        <f>'VZC_01_2026'!J50</f>
        <v/>
      </c>
      <c r="L51" s="28" t="inlineStr"/>
      <c r="M51" s="27" t="inlineStr"/>
      <c r="N51" s="29">
        <f>'VZC_01_2026'!K50</f>
        <v/>
      </c>
      <c r="O51" s="29">
        <f>'VZC_01_2026'!L50</f>
        <v/>
      </c>
      <c r="P51" s="29">
        <f>'VZC_01_2026'!M50</f>
        <v/>
      </c>
      <c r="Q51" s="29">
        <f>'VZC_01_2026'!N50</f>
        <v/>
      </c>
      <c r="R51" s="29">
        <f>'VZC_01_2026'!O50</f>
        <v/>
      </c>
      <c r="S51" s="29">
        <f>'VZC_01_2026'!P50</f>
        <v/>
      </c>
      <c r="T51" s="29">
        <f>'VZC_01_2026'!Q50</f>
        <v/>
      </c>
      <c r="U51" s="29">
        <f>'VZC_01_2026'!R50</f>
        <v/>
      </c>
      <c r="V51" s="29" t="inlineStr"/>
      <c r="W51" s="29" t="inlineStr"/>
      <c r="X51" s="27">
        <f>'VZC_01_2026'!S50</f>
        <v/>
      </c>
      <c r="Y51" s="27">
        <f>'VZC_01_2026'!T50</f>
        <v/>
      </c>
      <c r="Z51" s="27" t="inlineStr">
        <is>
          <t>VZC_01_2026!50</t>
        </is>
      </c>
    </row>
    <row r="52">
      <c r="A52" s="27" t="inlineStr">
        <is>
          <t>VZC</t>
        </is>
      </c>
      <c r="B52" s="27">
        <f>'VZC_01_2026'!A51</f>
        <v/>
      </c>
      <c r="C52" s="27">
        <f>'VZC_01_2026'!B51</f>
        <v/>
      </c>
      <c r="D52" s="27">
        <f>'VZC_01_2026'!C51</f>
        <v/>
      </c>
      <c r="E52" s="28">
        <f>'VZC_01_2026'!D51</f>
        <v/>
      </c>
      <c r="F52" s="28">
        <f>'VZC_01_2026'!E51</f>
        <v/>
      </c>
      <c r="G52" s="28">
        <f>'VZC_01_2026'!F51</f>
        <v/>
      </c>
      <c r="H52" s="28">
        <f>'VZC_01_2026'!G51</f>
        <v/>
      </c>
      <c r="I52" s="27">
        <f>'VZC_01_2026'!H51</f>
        <v/>
      </c>
      <c r="J52" s="28">
        <f>'VZC_01_2026'!I51</f>
        <v/>
      </c>
      <c r="K52" s="27">
        <f>'VZC_01_2026'!J51</f>
        <v/>
      </c>
      <c r="L52" s="28" t="inlineStr"/>
      <c r="M52" s="27" t="inlineStr"/>
      <c r="N52" s="29">
        <f>'VZC_01_2026'!K51</f>
        <v/>
      </c>
      <c r="O52" s="29">
        <f>'VZC_01_2026'!L51</f>
        <v/>
      </c>
      <c r="P52" s="29">
        <f>'VZC_01_2026'!M51</f>
        <v/>
      </c>
      <c r="Q52" s="29">
        <f>'VZC_01_2026'!N51</f>
        <v/>
      </c>
      <c r="R52" s="29">
        <f>'VZC_01_2026'!O51</f>
        <v/>
      </c>
      <c r="S52" s="29">
        <f>'VZC_01_2026'!P51</f>
        <v/>
      </c>
      <c r="T52" s="29">
        <f>'VZC_01_2026'!Q51</f>
        <v/>
      </c>
      <c r="U52" s="29">
        <f>'VZC_01_2026'!R51</f>
        <v/>
      </c>
      <c r="V52" s="29" t="inlineStr"/>
      <c r="W52" s="29" t="inlineStr"/>
      <c r="X52" s="27">
        <f>'VZC_01_2026'!S51</f>
        <v/>
      </c>
      <c r="Y52" s="27">
        <f>'VZC_01_2026'!T51</f>
        <v/>
      </c>
      <c r="Z52" s="27" t="inlineStr">
        <is>
          <t>VZC_01_2026!51</t>
        </is>
      </c>
    </row>
    <row r="53">
      <c r="A53" s="27" t="inlineStr">
        <is>
          <t>VZC</t>
        </is>
      </c>
      <c r="B53" s="27">
        <f>'VZC_01_2026'!A52</f>
        <v/>
      </c>
      <c r="C53" s="27">
        <f>'VZC_01_2026'!B52</f>
        <v/>
      </c>
      <c r="D53" s="27">
        <f>'VZC_01_2026'!C52</f>
        <v/>
      </c>
      <c r="E53" s="28">
        <f>'VZC_01_2026'!D52</f>
        <v/>
      </c>
      <c r="F53" s="28">
        <f>'VZC_01_2026'!E52</f>
        <v/>
      </c>
      <c r="G53" s="28">
        <f>'VZC_01_2026'!F52</f>
        <v/>
      </c>
      <c r="H53" s="28">
        <f>'VZC_01_2026'!G52</f>
        <v/>
      </c>
      <c r="I53" s="27">
        <f>'VZC_01_2026'!H52</f>
        <v/>
      </c>
      <c r="J53" s="28">
        <f>'VZC_01_2026'!I52</f>
        <v/>
      </c>
      <c r="K53" s="27">
        <f>'VZC_01_2026'!J52</f>
        <v/>
      </c>
      <c r="L53" s="28" t="inlineStr"/>
      <c r="M53" s="27" t="inlineStr"/>
      <c r="N53" s="29">
        <f>'VZC_01_2026'!K52</f>
        <v/>
      </c>
      <c r="O53" s="29">
        <f>'VZC_01_2026'!L52</f>
        <v/>
      </c>
      <c r="P53" s="29">
        <f>'VZC_01_2026'!M52</f>
        <v/>
      </c>
      <c r="Q53" s="29">
        <f>'VZC_01_2026'!N52</f>
        <v/>
      </c>
      <c r="R53" s="29">
        <f>'VZC_01_2026'!O52</f>
        <v/>
      </c>
      <c r="S53" s="29">
        <f>'VZC_01_2026'!P52</f>
        <v/>
      </c>
      <c r="T53" s="29">
        <f>'VZC_01_2026'!Q52</f>
        <v/>
      </c>
      <c r="U53" s="29">
        <f>'VZC_01_2026'!R52</f>
        <v/>
      </c>
      <c r="V53" s="29" t="inlineStr"/>
      <c r="W53" s="29" t="inlineStr"/>
      <c r="X53" s="27">
        <f>'VZC_01_2026'!S52</f>
        <v/>
      </c>
      <c r="Y53" s="27">
        <f>'VZC_01_2026'!T52</f>
        <v/>
      </c>
      <c r="Z53" s="27" t="inlineStr">
        <is>
          <t>VZC_01_2026!52</t>
        </is>
      </c>
    </row>
    <row r="54">
      <c r="A54" s="27" t="inlineStr">
        <is>
          <t>VZC</t>
        </is>
      </c>
      <c r="B54" s="27">
        <f>'VZC_01_2026'!A53</f>
        <v/>
      </c>
      <c r="C54" s="27">
        <f>'VZC_01_2026'!B53</f>
        <v/>
      </c>
      <c r="D54" s="27">
        <f>'VZC_01_2026'!C53</f>
        <v/>
      </c>
      <c r="E54" s="28">
        <f>'VZC_01_2026'!D53</f>
        <v/>
      </c>
      <c r="F54" s="28">
        <f>'VZC_01_2026'!E53</f>
        <v/>
      </c>
      <c r="G54" s="28">
        <f>'VZC_01_2026'!F53</f>
        <v/>
      </c>
      <c r="H54" s="28">
        <f>'VZC_01_2026'!G53</f>
        <v/>
      </c>
      <c r="I54" s="27">
        <f>'VZC_01_2026'!H53</f>
        <v/>
      </c>
      <c r="J54" s="28">
        <f>'VZC_01_2026'!I53</f>
        <v/>
      </c>
      <c r="K54" s="27">
        <f>'VZC_01_2026'!J53</f>
        <v/>
      </c>
      <c r="L54" s="28" t="inlineStr"/>
      <c r="M54" s="27" t="inlineStr"/>
      <c r="N54" s="29">
        <f>'VZC_01_2026'!K53</f>
        <v/>
      </c>
      <c r="O54" s="29">
        <f>'VZC_01_2026'!L53</f>
        <v/>
      </c>
      <c r="P54" s="29">
        <f>'VZC_01_2026'!M53</f>
        <v/>
      </c>
      <c r="Q54" s="29">
        <f>'VZC_01_2026'!N53</f>
        <v/>
      </c>
      <c r="R54" s="29">
        <f>'VZC_01_2026'!O53</f>
        <v/>
      </c>
      <c r="S54" s="29">
        <f>'VZC_01_2026'!P53</f>
        <v/>
      </c>
      <c r="T54" s="29">
        <f>'VZC_01_2026'!Q53</f>
        <v/>
      </c>
      <c r="U54" s="29">
        <f>'VZC_01_2026'!R53</f>
        <v/>
      </c>
      <c r="V54" s="29" t="inlineStr"/>
      <c r="W54" s="29" t="inlineStr"/>
      <c r="X54" s="27">
        <f>'VZC_01_2026'!S53</f>
        <v/>
      </c>
      <c r="Y54" s="27">
        <f>'VZC_01_2026'!T53</f>
        <v/>
      </c>
      <c r="Z54" s="27" t="inlineStr">
        <is>
          <t>VZC_01_2026!53</t>
        </is>
      </c>
    </row>
    <row r="55">
      <c r="A55" s="27" t="inlineStr">
        <is>
          <t>VZC</t>
        </is>
      </c>
      <c r="B55" s="27">
        <f>'VZC_01_2026'!A54</f>
        <v/>
      </c>
      <c r="C55" s="27">
        <f>'VZC_01_2026'!B54</f>
        <v/>
      </c>
      <c r="D55" s="27">
        <f>'VZC_01_2026'!C54</f>
        <v/>
      </c>
      <c r="E55" s="28">
        <f>'VZC_01_2026'!D54</f>
        <v/>
      </c>
      <c r="F55" s="28">
        <f>'VZC_01_2026'!E54</f>
        <v/>
      </c>
      <c r="G55" s="28">
        <f>'VZC_01_2026'!F54</f>
        <v/>
      </c>
      <c r="H55" s="28">
        <f>'VZC_01_2026'!G54</f>
        <v/>
      </c>
      <c r="I55" s="27">
        <f>'VZC_01_2026'!H54</f>
        <v/>
      </c>
      <c r="J55" s="28">
        <f>'VZC_01_2026'!I54</f>
        <v/>
      </c>
      <c r="K55" s="27">
        <f>'VZC_01_2026'!J54</f>
        <v/>
      </c>
      <c r="L55" s="28" t="inlineStr"/>
      <c r="M55" s="27" t="inlineStr"/>
      <c r="N55" s="29">
        <f>'VZC_01_2026'!K54</f>
        <v/>
      </c>
      <c r="O55" s="29">
        <f>'VZC_01_2026'!L54</f>
        <v/>
      </c>
      <c r="P55" s="29">
        <f>'VZC_01_2026'!M54</f>
        <v/>
      </c>
      <c r="Q55" s="29">
        <f>'VZC_01_2026'!N54</f>
        <v/>
      </c>
      <c r="R55" s="29">
        <f>'VZC_01_2026'!O54</f>
        <v/>
      </c>
      <c r="S55" s="29">
        <f>'VZC_01_2026'!P54</f>
        <v/>
      </c>
      <c r="T55" s="29">
        <f>'VZC_01_2026'!Q54</f>
        <v/>
      </c>
      <c r="U55" s="29">
        <f>'VZC_01_2026'!R54</f>
        <v/>
      </c>
      <c r="V55" s="29" t="inlineStr"/>
      <c r="W55" s="29" t="inlineStr"/>
      <c r="X55" s="27">
        <f>'VZC_01_2026'!S54</f>
        <v/>
      </c>
      <c r="Y55" s="27">
        <f>'VZC_01_2026'!T54</f>
        <v/>
      </c>
      <c r="Z55" s="27" t="inlineStr">
        <is>
          <t>VZC_01_2026!54</t>
        </is>
      </c>
    </row>
    <row r="56">
      <c r="A56" s="27" t="inlineStr">
        <is>
          <t>VZC</t>
        </is>
      </c>
      <c r="B56" s="27">
        <f>'VZC_01_2026'!A55</f>
        <v/>
      </c>
      <c r="C56" s="27">
        <f>'VZC_01_2026'!B55</f>
        <v/>
      </c>
      <c r="D56" s="27">
        <f>'VZC_01_2026'!C55</f>
        <v/>
      </c>
      <c r="E56" s="28">
        <f>'VZC_01_2026'!D55</f>
        <v/>
      </c>
      <c r="F56" s="28">
        <f>'VZC_01_2026'!E55</f>
        <v/>
      </c>
      <c r="G56" s="28">
        <f>'VZC_01_2026'!F55</f>
        <v/>
      </c>
      <c r="H56" s="28">
        <f>'VZC_01_2026'!G55</f>
        <v/>
      </c>
      <c r="I56" s="27">
        <f>'VZC_01_2026'!H55</f>
        <v/>
      </c>
      <c r="J56" s="28">
        <f>'VZC_01_2026'!I55</f>
        <v/>
      </c>
      <c r="K56" s="27">
        <f>'VZC_01_2026'!J55</f>
        <v/>
      </c>
      <c r="L56" s="28" t="inlineStr"/>
      <c r="M56" s="27" t="inlineStr"/>
      <c r="N56" s="29">
        <f>'VZC_01_2026'!K55</f>
        <v/>
      </c>
      <c r="O56" s="29">
        <f>'VZC_01_2026'!L55</f>
        <v/>
      </c>
      <c r="P56" s="29">
        <f>'VZC_01_2026'!M55</f>
        <v/>
      </c>
      <c r="Q56" s="29">
        <f>'VZC_01_2026'!N55</f>
        <v/>
      </c>
      <c r="R56" s="29">
        <f>'VZC_01_2026'!O55</f>
        <v/>
      </c>
      <c r="S56" s="29">
        <f>'VZC_01_2026'!P55</f>
        <v/>
      </c>
      <c r="T56" s="29">
        <f>'VZC_01_2026'!Q55</f>
        <v/>
      </c>
      <c r="U56" s="29">
        <f>'VZC_01_2026'!R55</f>
        <v/>
      </c>
      <c r="V56" s="29" t="inlineStr"/>
      <c r="W56" s="29" t="inlineStr"/>
      <c r="X56" s="27">
        <f>'VZC_01_2026'!S55</f>
        <v/>
      </c>
      <c r="Y56" s="27">
        <f>'VZC_01_2026'!T55</f>
        <v/>
      </c>
      <c r="Z56" s="27" t="inlineStr">
        <is>
          <t>VZC_01_2026!55</t>
        </is>
      </c>
    </row>
    <row r="57">
      <c r="A57" s="27" t="inlineStr">
        <is>
          <t>VZC</t>
        </is>
      </c>
      <c r="B57" s="27">
        <f>'VZC_01_2026'!A56</f>
        <v/>
      </c>
      <c r="C57" s="27">
        <f>'VZC_01_2026'!B56</f>
        <v/>
      </c>
      <c r="D57" s="27">
        <f>'VZC_01_2026'!C56</f>
        <v/>
      </c>
      <c r="E57" s="28">
        <f>'VZC_01_2026'!D56</f>
        <v/>
      </c>
      <c r="F57" s="28">
        <f>'VZC_01_2026'!E56</f>
        <v/>
      </c>
      <c r="G57" s="28">
        <f>'VZC_01_2026'!F56</f>
        <v/>
      </c>
      <c r="H57" s="28">
        <f>'VZC_01_2026'!G56</f>
        <v/>
      </c>
      <c r="I57" s="27">
        <f>'VZC_01_2026'!H56</f>
        <v/>
      </c>
      <c r="J57" s="28">
        <f>'VZC_01_2026'!I56</f>
        <v/>
      </c>
      <c r="K57" s="27">
        <f>'VZC_01_2026'!J56</f>
        <v/>
      </c>
      <c r="L57" s="28" t="inlineStr"/>
      <c r="M57" s="27" t="inlineStr"/>
      <c r="N57" s="29">
        <f>'VZC_01_2026'!K56</f>
        <v/>
      </c>
      <c r="O57" s="29">
        <f>'VZC_01_2026'!L56</f>
        <v/>
      </c>
      <c r="P57" s="29">
        <f>'VZC_01_2026'!M56</f>
        <v/>
      </c>
      <c r="Q57" s="29">
        <f>'VZC_01_2026'!N56</f>
        <v/>
      </c>
      <c r="R57" s="29">
        <f>'VZC_01_2026'!O56</f>
        <v/>
      </c>
      <c r="S57" s="29">
        <f>'VZC_01_2026'!P56</f>
        <v/>
      </c>
      <c r="T57" s="29">
        <f>'VZC_01_2026'!Q56</f>
        <v/>
      </c>
      <c r="U57" s="29">
        <f>'VZC_01_2026'!R56</f>
        <v/>
      </c>
      <c r="V57" s="29" t="inlineStr"/>
      <c r="W57" s="29" t="inlineStr"/>
      <c r="X57" s="27">
        <f>'VZC_01_2026'!S56</f>
        <v/>
      </c>
      <c r="Y57" s="27">
        <f>'VZC_01_2026'!T56</f>
        <v/>
      </c>
      <c r="Z57" s="27" t="inlineStr">
        <is>
          <t>VZC_01_2026!56</t>
        </is>
      </c>
    </row>
    <row r="58">
      <c r="A58" s="27" t="inlineStr">
        <is>
          <t>VZC</t>
        </is>
      </c>
      <c r="B58" s="27">
        <f>'VZC_01_2026'!A57</f>
        <v/>
      </c>
      <c r="C58" s="27">
        <f>'VZC_01_2026'!B57</f>
        <v/>
      </c>
      <c r="D58" s="27">
        <f>'VZC_01_2026'!C57</f>
        <v/>
      </c>
      <c r="E58" s="28">
        <f>'VZC_01_2026'!D57</f>
        <v/>
      </c>
      <c r="F58" s="28">
        <f>'VZC_01_2026'!E57</f>
        <v/>
      </c>
      <c r="G58" s="28">
        <f>'VZC_01_2026'!F57</f>
        <v/>
      </c>
      <c r="H58" s="28">
        <f>'VZC_01_2026'!G57</f>
        <v/>
      </c>
      <c r="I58" s="27">
        <f>'VZC_01_2026'!H57</f>
        <v/>
      </c>
      <c r="J58" s="28">
        <f>'VZC_01_2026'!I57</f>
        <v/>
      </c>
      <c r="K58" s="27">
        <f>'VZC_01_2026'!J57</f>
        <v/>
      </c>
      <c r="L58" s="28" t="inlineStr"/>
      <c r="M58" s="27" t="inlineStr"/>
      <c r="N58" s="29">
        <f>'VZC_01_2026'!K57</f>
        <v/>
      </c>
      <c r="O58" s="29">
        <f>'VZC_01_2026'!L57</f>
        <v/>
      </c>
      <c r="P58" s="29">
        <f>'VZC_01_2026'!M57</f>
        <v/>
      </c>
      <c r="Q58" s="29">
        <f>'VZC_01_2026'!N57</f>
        <v/>
      </c>
      <c r="R58" s="29">
        <f>'VZC_01_2026'!O57</f>
        <v/>
      </c>
      <c r="S58" s="29">
        <f>'VZC_01_2026'!P57</f>
        <v/>
      </c>
      <c r="T58" s="29">
        <f>'VZC_01_2026'!Q57</f>
        <v/>
      </c>
      <c r="U58" s="29">
        <f>'VZC_01_2026'!R57</f>
        <v/>
      </c>
      <c r="V58" s="29" t="inlineStr"/>
      <c r="W58" s="29" t="inlineStr"/>
      <c r="X58" s="27">
        <f>'VZC_01_2026'!S57</f>
        <v/>
      </c>
      <c r="Y58" s="27">
        <f>'VZC_01_2026'!T57</f>
        <v/>
      </c>
      <c r="Z58" s="27" t="inlineStr">
        <is>
          <t>VZC_01_2026!57</t>
        </is>
      </c>
    </row>
    <row r="59">
      <c r="A59" s="27" t="inlineStr">
        <is>
          <t>VZC</t>
        </is>
      </c>
      <c r="B59" s="27">
        <f>'VZC_01_2026'!A58</f>
        <v/>
      </c>
      <c r="C59" s="27">
        <f>'VZC_01_2026'!B58</f>
        <v/>
      </c>
      <c r="D59" s="27">
        <f>'VZC_01_2026'!C58</f>
        <v/>
      </c>
      <c r="E59" s="28">
        <f>'VZC_01_2026'!D58</f>
        <v/>
      </c>
      <c r="F59" s="28">
        <f>'VZC_01_2026'!E58</f>
        <v/>
      </c>
      <c r="G59" s="28">
        <f>'VZC_01_2026'!F58</f>
        <v/>
      </c>
      <c r="H59" s="28">
        <f>'VZC_01_2026'!G58</f>
        <v/>
      </c>
      <c r="I59" s="27">
        <f>'VZC_01_2026'!H58</f>
        <v/>
      </c>
      <c r="J59" s="28">
        <f>'VZC_01_2026'!I58</f>
        <v/>
      </c>
      <c r="K59" s="27">
        <f>'VZC_01_2026'!J58</f>
        <v/>
      </c>
      <c r="L59" s="28" t="inlineStr"/>
      <c r="M59" s="27" t="inlineStr"/>
      <c r="N59" s="29">
        <f>'VZC_01_2026'!K58</f>
        <v/>
      </c>
      <c r="O59" s="29">
        <f>'VZC_01_2026'!L58</f>
        <v/>
      </c>
      <c r="P59" s="29">
        <f>'VZC_01_2026'!M58</f>
        <v/>
      </c>
      <c r="Q59" s="29">
        <f>'VZC_01_2026'!N58</f>
        <v/>
      </c>
      <c r="R59" s="29">
        <f>'VZC_01_2026'!O58</f>
        <v/>
      </c>
      <c r="S59" s="29">
        <f>'VZC_01_2026'!P58</f>
        <v/>
      </c>
      <c r="T59" s="29">
        <f>'VZC_01_2026'!Q58</f>
        <v/>
      </c>
      <c r="U59" s="29">
        <f>'VZC_01_2026'!R58</f>
        <v/>
      </c>
      <c r="V59" s="29" t="inlineStr"/>
      <c r="W59" s="29" t="inlineStr"/>
      <c r="X59" s="27">
        <f>'VZC_01_2026'!S58</f>
        <v/>
      </c>
      <c r="Y59" s="27">
        <f>'VZC_01_2026'!T58</f>
        <v/>
      </c>
      <c r="Z59" s="27" t="inlineStr">
        <is>
          <t>VZC_01_2026!58</t>
        </is>
      </c>
    </row>
    <row r="60">
      <c r="A60" s="27" t="inlineStr">
        <is>
          <t>VZC</t>
        </is>
      </c>
      <c r="B60" s="27">
        <f>'VZC_01_2026'!A59</f>
        <v/>
      </c>
      <c r="C60" s="27">
        <f>'VZC_01_2026'!B59</f>
        <v/>
      </c>
      <c r="D60" s="27">
        <f>'VZC_01_2026'!C59</f>
        <v/>
      </c>
      <c r="E60" s="28">
        <f>'VZC_01_2026'!D59</f>
        <v/>
      </c>
      <c r="F60" s="28">
        <f>'VZC_01_2026'!E59</f>
        <v/>
      </c>
      <c r="G60" s="28">
        <f>'VZC_01_2026'!F59</f>
        <v/>
      </c>
      <c r="H60" s="28">
        <f>'VZC_01_2026'!G59</f>
        <v/>
      </c>
      <c r="I60" s="27">
        <f>'VZC_01_2026'!H59</f>
        <v/>
      </c>
      <c r="J60" s="28">
        <f>'VZC_01_2026'!I59</f>
        <v/>
      </c>
      <c r="K60" s="27">
        <f>'VZC_01_2026'!J59</f>
        <v/>
      </c>
      <c r="L60" s="28" t="inlineStr"/>
      <c r="M60" s="27" t="inlineStr"/>
      <c r="N60" s="29">
        <f>'VZC_01_2026'!K59</f>
        <v/>
      </c>
      <c r="O60" s="29">
        <f>'VZC_01_2026'!L59</f>
        <v/>
      </c>
      <c r="P60" s="29">
        <f>'VZC_01_2026'!M59</f>
        <v/>
      </c>
      <c r="Q60" s="29">
        <f>'VZC_01_2026'!N59</f>
        <v/>
      </c>
      <c r="R60" s="29">
        <f>'VZC_01_2026'!O59</f>
        <v/>
      </c>
      <c r="S60" s="29">
        <f>'VZC_01_2026'!P59</f>
        <v/>
      </c>
      <c r="T60" s="29">
        <f>'VZC_01_2026'!Q59</f>
        <v/>
      </c>
      <c r="U60" s="29">
        <f>'VZC_01_2026'!R59</f>
        <v/>
      </c>
      <c r="V60" s="29" t="inlineStr"/>
      <c r="W60" s="29" t="inlineStr"/>
      <c r="X60" s="27">
        <f>'VZC_01_2026'!S59</f>
        <v/>
      </c>
      <c r="Y60" s="27">
        <f>'VZC_01_2026'!T59</f>
        <v/>
      </c>
      <c r="Z60" s="27" t="inlineStr">
        <is>
          <t>VZC_01_2026!59</t>
        </is>
      </c>
    </row>
    <row r="61">
      <c r="A61" s="27" t="inlineStr">
        <is>
          <t>VZC</t>
        </is>
      </c>
      <c r="B61" s="27">
        <f>'VZC_01_2026'!A60</f>
        <v/>
      </c>
      <c r="C61" s="27">
        <f>'VZC_01_2026'!B60</f>
        <v/>
      </c>
      <c r="D61" s="27">
        <f>'VZC_01_2026'!C60</f>
        <v/>
      </c>
      <c r="E61" s="28">
        <f>'VZC_01_2026'!D60</f>
        <v/>
      </c>
      <c r="F61" s="28">
        <f>'VZC_01_2026'!E60</f>
        <v/>
      </c>
      <c r="G61" s="28">
        <f>'VZC_01_2026'!F60</f>
        <v/>
      </c>
      <c r="H61" s="28">
        <f>'VZC_01_2026'!G60</f>
        <v/>
      </c>
      <c r="I61" s="27">
        <f>'VZC_01_2026'!H60</f>
        <v/>
      </c>
      <c r="J61" s="28">
        <f>'VZC_01_2026'!I60</f>
        <v/>
      </c>
      <c r="K61" s="27">
        <f>'VZC_01_2026'!J60</f>
        <v/>
      </c>
      <c r="L61" s="28" t="inlineStr"/>
      <c r="M61" s="27" t="inlineStr"/>
      <c r="N61" s="29">
        <f>'VZC_01_2026'!K60</f>
        <v/>
      </c>
      <c r="O61" s="29">
        <f>'VZC_01_2026'!L60</f>
        <v/>
      </c>
      <c r="P61" s="29">
        <f>'VZC_01_2026'!M60</f>
        <v/>
      </c>
      <c r="Q61" s="29">
        <f>'VZC_01_2026'!N60</f>
        <v/>
      </c>
      <c r="R61" s="29">
        <f>'VZC_01_2026'!O60</f>
        <v/>
      </c>
      <c r="S61" s="29">
        <f>'VZC_01_2026'!P60</f>
        <v/>
      </c>
      <c r="T61" s="29">
        <f>'VZC_01_2026'!Q60</f>
        <v/>
      </c>
      <c r="U61" s="29">
        <f>'VZC_01_2026'!R60</f>
        <v/>
      </c>
      <c r="V61" s="29" t="inlineStr"/>
      <c r="W61" s="29" t="inlineStr"/>
      <c r="X61" s="27">
        <f>'VZC_01_2026'!S60</f>
        <v/>
      </c>
      <c r="Y61" s="27">
        <f>'VZC_01_2026'!T60</f>
        <v/>
      </c>
      <c r="Z61" s="27" t="inlineStr">
        <is>
          <t>VZC_01_2026!60</t>
        </is>
      </c>
    </row>
    <row r="62">
      <c r="A62" s="27" t="inlineStr">
        <is>
          <t>VZC</t>
        </is>
      </c>
      <c r="B62" s="27">
        <f>'VZC_01_2026'!A61</f>
        <v/>
      </c>
      <c r="C62" s="27">
        <f>'VZC_01_2026'!B61</f>
        <v/>
      </c>
      <c r="D62" s="27">
        <f>'VZC_01_2026'!C61</f>
        <v/>
      </c>
      <c r="E62" s="28">
        <f>'VZC_01_2026'!D61</f>
        <v/>
      </c>
      <c r="F62" s="28">
        <f>'VZC_01_2026'!E61</f>
        <v/>
      </c>
      <c r="G62" s="28">
        <f>'VZC_01_2026'!F61</f>
        <v/>
      </c>
      <c r="H62" s="28">
        <f>'VZC_01_2026'!G61</f>
        <v/>
      </c>
      <c r="I62" s="27">
        <f>'VZC_01_2026'!H61</f>
        <v/>
      </c>
      <c r="J62" s="28">
        <f>'VZC_01_2026'!I61</f>
        <v/>
      </c>
      <c r="K62" s="27">
        <f>'VZC_01_2026'!J61</f>
        <v/>
      </c>
      <c r="L62" s="28" t="inlineStr"/>
      <c r="M62" s="27" t="inlineStr"/>
      <c r="N62" s="29">
        <f>'VZC_01_2026'!K61</f>
        <v/>
      </c>
      <c r="O62" s="29">
        <f>'VZC_01_2026'!L61</f>
        <v/>
      </c>
      <c r="P62" s="29">
        <f>'VZC_01_2026'!M61</f>
        <v/>
      </c>
      <c r="Q62" s="29">
        <f>'VZC_01_2026'!N61</f>
        <v/>
      </c>
      <c r="R62" s="29">
        <f>'VZC_01_2026'!O61</f>
        <v/>
      </c>
      <c r="S62" s="29">
        <f>'VZC_01_2026'!P61</f>
        <v/>
      </c>
      <c r="T62" s="29">
        <f>'VZC_01_2026'!Q61</f>
        <v/>
      </c>
      <c r="U62" s="29">
        <f>'VZC_01_2026'!R61</f>
        <v/>
      </c>
      <c r="V62" s="29" t="inlineStr"/>
      <c r="W62" s="29" t="inlineStr"/>
      <c r="X62" s="27">
        <f>'VZC_01_2026'!S61</f>
        <v/>
      </c>
      <c r="Y62" s="27">
        <f>'VZC_01_2026'!T61</f>
        <v/>
      </c>
      <c r="Z62" s="27" t="inlineStr">
        <is>
          <t>VZC_01_2026!61</t>
        </is>
      </c>
    </row>
    <row r="63">
      <c r="A63" s="27" t="inlineStr">
        <is>
          <t>VZC</t>
        </is>
      </c>
      <c r="B63" s="27">
        <f>'VZC_01_2026'!A62</f>
        <v/>
      </c>
      <c r="C63" s="27">
        <f>'VZC_01_2026'!B62</f>
        <v/>
      </c>
      <c r="D63" s="27">
        <f>'VZC_01_2026'!C62</f>
        <v/>
      </c>
      <c r="E63" s="28">
        <f>'VZC_01_2026'!D62</f>
        <v/>
      </c>
      <c r="F63" s="28">
        <f>'VZC_01_2026'!E62</f>
        <v/>
      </c>
      <c r="G63" s="28">
        <f>'VZC_01_2026'!F62</f>
        <v/>
      </c>
      <c r="H63" s="28">
        <f>'VZC_01_2026'!G62</f>
        <v/>
      </c>
      <c r="I63" s="27">
        <f>'VZC_01_2026'!H62</f>
        <v/>
      </c>
      <c r="J63" s="28">
        <f>'VZC_01_2026'!I62</f>
        <v/>
      </c>
      <c r="K63" s="27">
        <f>'VZC_01_2026'!J62</f>
        <v/>
      </c>
      <c r="L63" s="28" t="inlineStr"/>
      <c r="M63" s="27" t="inlineStr"/>
      <c r="N63" s="29">
        <f>'VZC_01_2026'!K62</f>
        <v/>
      </c>
      <c r="O63" s="29">
        <f>'VZC_01_2026'!L62</f>
        <v/>
      </c>
      <c r="P63" s="29">
        <f>'VZC_01_2026'!M62</f>
        <v/>
      </c>
      <c r="Q63" s="29">
        <f>'VZC_01_2026'!N62</f>
        <v/>
      </c>
      <c r="R63" s="29">
        <f>'VZC_01_2026'!O62</f>
        <v/>
      </c>
      <c r="S63" s="29">
        <f>'VZC_01_2026'!P62</f>
        <v/>
      </c>
      <c r="T63" s="29">
        <f>'VZC_01_2026'!Q62</f>
        <v/>
      </c>
      <c r="U63" s="29">
        <f>'VZC_01_2026'!R62</f>
        <v/>
      </c>
      <c r="V63" s="29" t="inlineStr"/>
      <c r="W63" s="29" t="inlineStr"/>
      <c r="X63" s="27">
        <f>'VZC_01_2026'!S62</f>
        <v/>
      </c>
      <c r="Y63" s="27">
        <f>'VZC_01_2026'!T62</f>
        <v/>
      </c>
      <c r="Z63" s="27" t="inlineStr">
        <is>
          <t>VZC_01_2026!62</t>
        </is>
      </c>
    </row>
    <row r="64">
      <c r="A64" s="27" t="inlineStr">
        <is>
          <t>VZC</t>
        </is>
      </c>
      <c r="B64" s="27">
        <f>'VZC_01_2026'!A63</f>
        <v/>
      </c>
      <c r="C64" s="27">
        <f>'VZC_01_2026'!B63</f>
        <v/>
      </c>
      <c r="D64" s="27">
        <f>'VZC_01_2026'!C63</f>
        <v/>
      </c>
      <c r="E64" s="28">
        <f>'VZC_01_2026'!D63</f>
        <v/>
      </c>
      <c r="F64" s="28">
        <f>'VZC_01_2026'!E63</f>
        <v/>
      </c>
      <c r="G64" s="28">
        <f>'VZC_01_2026'!F63</f>
        <v/>
      </c>
      <c r="H64" s="28">
        <f>'VZC_01_2026'!G63</f>
        <v/>
      </c>
      <c r="I64" s="27">
        <f>'VZC_01_2026'!H63</f>
        <v/>
      </c>
      <c r="J64" s="28">
        <f>'VZC_01_2026'!I63</f>
        <v/>
      </c>
      <c r="K64" s="27">
        <f>'VZC_01_2026'!J63</f>
        <v/>
      </c>
      <c r="L64" s="28" t="inlineStr"/>
      <c r="M64" s="27" t="inlineStr"/>
      <c r="N64" s="29">
        <f>'VZC_01_2026'!K63</f>
        <v/>
      </c>
      <c r="O64" s="29">
        <f>'VZC_01_2026'!L63</f>
        <v/>
      </c>
      <c r="P64" s="29">
        <f>'VZC_01_2026'!M63</f>
        <v/>
      </c>
      <c r="Q64" s="29">
        <f>'VZC_01_2026'!N63</f>
        <v/>
      </c>
      <c r="R64" s="29">
        <f>'VZC_01_2026'!O63</f>
        <v/>
      </c>
      <c r="S64" s="29">
        <f>'VZC_01_2026'!P63</f>
        <v/>
      </c>
      <c r="T64" s="29">
        <f>'VZC_01_2026'!Q63</f>
        <v/>
      </c>
      <c r="U64" s="29">
        <f>'VZC_01_2026'!R63</f>
        <v/>
      </c>
      <c r="V64" s="29" t="inlineStr"/>
      <c r="W64" s="29" t="inlineStr"/>
      <c r="X64" s="27">
        <f>'VZC_01_2026'!S63</f>
        <v/>
      </c>
      <c r="Y64" s="27">
        <f>'VZC_01_2026'!T63</f>
        <v/>
      </c>
      <c r="Z64" s="27" t="inlineStr">
        <is>
          <t>VZC_01_2026!63</t>
        </is>
      </c>
    </row>
    <row r="65">
      <c r="A65" s="27" t="inlineStr">
        <is>
          <t>VZC</t>
        </is>
      </c>
      <c r="B65" s="27">
        <f>'VZC_01_2026'!A64</f>
        <v/>
      </c>
      <c r="C65" s="27">
        <f>'VZC_01_2026'!B64</f>
        <v/>
      </c>
      <c r="D65" s="27">
        <f>'VZC_01_2026'!C64</f>
        <v/>
      </c>
      <c r="E65" s="28">
        <f>'VZC_01_2026'!D64</f>
        <v/>
      </c>
      <c r="F65" s="28">
        <f>'VZC_01_2026'!E64</f>
        <v/>
      </c>
      <c r="G65" s="28">
        <f>'VZC_01_2026'!F64</f>
        <v/>
      </c>
      <c r="H65" s="28">
        <f>'VZC_01_2026'!G64</f>
        <v/>
      </c>
      <c r="I65" s="27">
        <f>'VZC_01_2026'!H64</f>
        <v/>
      </c>
      <c r="J65" s="28">
        <f>'VZC_01_2026'!I64</f>
        <v/>
      </c>
      <c r="K65" s="27">
        <f>'VZC_01_2026'!J64</f>
        <v/>
      </c>
      <c r="L65" s="28" t="inlineStr"/>
      <c r="M65" s="27" t="inlineStr"/>
      <c r="N65" s="29">
        <f>'VZC_01_2026'!K64</f>
        <v/>
      </c>
      <c r="O65" s="29">
        <f>'VZC_01_2026'!L64</f>
        <v/>
      </c>
      <c r="P65" s="29">
        <f>'VZC_01_2026'!M64</f>
        <v/>
      </c>
      <c r="Q65" s="29">
        <f>'VZC_01_2026'!N64</f>
        <v/>
      </c>
      <c r="R65" s="29">
        <f>'VZC_01_2026'!O64</f>
        <v/>
      </c>
      <c r="S65" s="29">
        <f>'VZC_01_2026'!P64</f>
        <v/>
      </c>
      <c r="T65" s="29">
        <f>'VZC_01_2026'!Q64</f>
        <v/>
      </c>
      <c r="U65" s="29">
        <f>'VZC_01_2026'!R64</f>
        <v/>
      </c>
      <c r="V65" s="29" t="inlineStr"/>
      <c r="W65" s="29" t="inlineStr"/>
      <c r="X65" s="27">
        <f>'VZC_01_2026'!S64</f>
        <v/>
      </c>
      <c r="Y65" s="27">
        <f>'VZC_01_2026'!T64</f>
        <v/>
      </c>
      <c r="Z65" s="27" t="inlineStr">
        <is>
          <t>VZC_01_2026!64</t>
        </is>
      </c>
    </row>
    <row r="66">
      <c r="A66" s="27" t="inlineStr">
        <is>
          <t>VZC</t>
        </is>
      </c>
      <c r="B66" s="27">
        <f>'VZC_01_2026'!A65</f>
        <v/>
      </c>
      <c r="C66" s="27">
        <f>'VZC_01_2026'!B65</f>
        <v/>
      </c>
      <c r="D66" s="27">
        <f>'VZC_01_2026'!C65</f>
        <v/>
      </c>
      <c r="E66" s="28">
        <f>'VZC_01_2026'!D65</f>
        <v/>
      </c>
      <c r="F66" s="28">
        <f>'VZC_01_2026'!E65</f>
        <v/>
      </c>
      <c r="G66" s="28">
        <f>'VZC_01_2026'!F65</f>
        <v/>
      </c>
      <c r="H66" s="28">
        <f>'VZC_01_2026'!G65</f>
        <v/>
      </c>
      <c r="I66" s="27">
        <f>'VZC_01_2026'!H65</f>
        <v/>
      </c>
      <c r="J66" s="28">
        <f>'VZC_01_2026'!I65</f>
        <v/>
      </c>
      <c r="K66" s="27">
        <f>'VZC_01_2026'!J65</f>
        <v/>
      </c>
      <c r="L66" s="28" t="inlineStr"/>
      <c r="M66" s="27" t="inlineStr"/>
      <c r="N66" s="29">
        <f>'VZC_01_2026'!K65</f>
        <v/>
      </c>
      <c r="O66" s="29">
        <f>'VZC_01_2026'!L65</f>
        <v/>
      </c>
      <c r="P66" s="29">
        <f>'VZC_01_2026'!M65</f>
        <v/>
      </c>
      <c r="Q66" s="29">
        <f>'VZC_01_2026'!N65</f>
        <v/>
      </c>
      <c r="R66" s="29">
        <f>'VZC_01_2026'!O65</f>
        <v/>
      </c>
      <c r="S66" s="29">
        <f>'VZC_01_2026'!P65</f>
        <v/>
      </c>
      <c r="T66" s="29">
        <f>'VZC_01_2026'!Q65</f>
        <v/>
      </c>
      <c r="U66" s="29">
        <f>'VZC_01_2026'!R65</f>
        <v/>
      </c>
      <c r="V66" s="29" t="inlineStr"/>
      <c r="W66" s="29" t="inlineStr"/>
      <c r="X66" s="27">
        <f>'VZC_01_2026'!S65</f>
        <v/>
      </c>
      <c r="Y66" s="27">
        <f>'VZC_01_2026'!T65</f>
        <v/>
      </c>
      <c r="Z66" s="27" t="inlineStr">
        <is>
          <t>VZC_01_2026!65</t>
        </is>
      </c>
    </row>
    <row r="67">
      <c r="A67" s="27" t="inlineStr">
        <is>
          <t>KERA</t>
        </is>
      </c>
      <c r="B67" s="27">
        <f>'KERA_02_2026'!A4</f>
        <v/>
      </c>
      <c r="C67" s="27">
        <f>'KERA_02_2026'!B4</f>
        <v/>
      </c>
      <c r="D67" s="27" t="inlineStr">
        <is>
          <t>KERA</t>
        </is>
      </c>
      <c r="E67" s="28">
        <f>'KERA_02_2026'!C4</f>
        <v/>
      </c>
      <c r="F67" s="28">
        <f>'KERA_02_2026'!D4</f>
        <v/>
      </c>
      <c r="G67" s="28">
        <f>'KERA_02_2026'!E4</f>
        <v/>
      </c>
      <c r="H67" s="28">
        <f>'KERA_02_2026'!F4</f>
        <v/>
      </c>
      <c r="I67" s="27">
        <f>'KERA_02_2026'!G4</f>
        <v/>
      </c>
      <c r="J67" s="28">
        <f>'KERA_02_2026'!H4</f>
        <v/>
      </c>
      <c r="K67" s="27">
        <f>'KERA_02_2026'!I4</f>
        <v/>
      </c>
      <c r="L67" s="28">
        <f>'KERA_02_2026'!J4</f>
        <v/>
      </c>
      <c r="M67" s="27">
        <f>'KERA_02_2026'!K4</f>
        <v/>
      </c>
      <c r="N67" s="29">
        <f>'KERA_02_2026'!L4</f>
        <v/>
      </c>
      <c r="O67" s="29">
        <f>'KERA_02_2026'!M4</f>
        <v/>
      </c>
      <c r="P67" s="29">
        <f>'KERA_02_2026'!N4</f>
        <v/>
      </c>
      <c r="Q67" s="29">
        <f>'KERA_02_2026'!O4</f>
        <v/>
      </c>
      <c r="R67" s="29">
        <f>'KERA_02_2026'!P4</f>
        <v/>
      </c>
      <c r="S67" s="29">
        <f>'KERA_02_2026'!Q4</f>
        <v/>
      </c>
      <c r="T67" s="29" t="inlineStr"/>
      <c r="U67" s="29">
        <f>'KERA_02_2026'!R4</f>
        <v/>
      </c>
      <c r="V67" s="29">
        <f>'KERA_02_2026'!S4</f>
        <v/>
      </c>
      <c r="W67" s="29">
        <f>'KERA_02_2026'!U4</f>
        <v/>
      </c>
      <c r="X67" s="27">
        <f>'KERA_02_2026'!T4</f>
        <v/>
      </c>
      <c r="Y67" s="27" t="inlineStr"/>
      <c r="Z67" s="27" t="inlineStr">
        <is>
          <t>KERA_02_2026!4</t>
        </is>
      </c>
    </row>
    <row r="68">
      <c r="A68" s="27" t="inlineStr">
        <is>
          <t>KERA</t>
        </is>
      </c>
      <c r="B68" s="27">
        <f>'KERA_02_2026'!A5</f>
        <v/>
      </c>
      <c r="C68" s="27">
        <f>'KERA_02_2026'!B5</f>
        <v/>
      </c>
      <c r="D68" s="27" t="inlineStr">
        <is>
          <t>KERA</t>
        </is>
      </c>
      <c r="E68" s="28">
        <f>'KERA_02_2026'!C5</f>
        <v/>
      </c>
      <c r="F68" s="28">
        <f>'KERA_02_2026'!D5</f>
        <v/>
      </c>
      <c r="G68" s="28">
        <f>'KERA_02_2026'!E5</f>
        <v/>
      </c>
      <c r="H68" s="28">
        <f>'KERA_02_2026'!F5</f>
        <v/>
      </c>
      <c r="I68" s="27">
        <f>'KERA_02_2026'!G5</f>
        <v/>
      </c>
      <c r="J68" s="28">
        <f>'KERA_02_2026'!H5</f>
        <v/>
      </c>
      <c r="K68" s="27">
        <f>'KERA_02_2026'!I5</f>
        <v/>
      </c>
      <c r="L68" s="28">
        <f>'KERA_02_2026'!J5</f>
        <v/>
      </c>
      <c r="M68" s="27">
        <f>'KERA_02_2026'!K5</f>
        <v/>
      </c>
      <c r="N68" s="29">
        <f>'KERA_02_2026'!L5</f>
        <v/>
      </c>
      <c r="O68" s="29">
        <f>'KERA_02_2026'!M5</f>
        <v/>
      </c>
      <c r="P68" s="29">
        <f>'KERA_02_2026'!N5</f>
        <v/>
      </c>
      <c r="Q68" s="29">
        <f>'KERA_02_2026'!O5</f>
        <v/>
      </c>
      <c r="R68" s="29">
        <f>'KERA_02_2026'!P5</f>
        <v/>
      </c>
      <c r="S68" s="29">
        <f>'KERA_02_2026'!Q5</f>
        <v/>
      </c>
      <c r="T68" s="29" t="inlineStr"/>
      <c r="U68" s="29">
        <f>'KERA_02_2026'!R5</f>
        <v/>
      </c>
      <c r="V68" s="29">
        <f>'KERA_02_2026'!S5</f>
        <v/>
      </c>
      <c r="W68" s="29">
        <f>'KERA_02_2026'!U5</f>
        <v/>
      </c>
      <c r="X68" s="27">
        <f>'KERA_02_2026'!T5</f>
        <v/>
      </c>
      <c r="Y68" s="27" t="inlineStr"/>
      <c r="Z68" s="27" t="inlineStr">
        <is>
          <t>KERA_02_2026!5</t>
        </is>
      </c>
    </row>
    <row r="69">
      <c r="A69" s="27" t="inlineStr">
        <is>
          <t>KERA</t>
        </is>
      </c>
      <c r="B69" s="27">
        <f>'KERA_02_2026'!A6</f>
        <v/>
      </c>
      <c r="C69" s="27">
        <f>'KERA_02_2026'!B6</f>
        <v/>
      </c>
      <c r="D69" s="27" t="inlineStr">
        <is>
          <t>KERA</t>
        </is>
      </c>
      <c r="E69" s="28">
        <f>'KERA_02_2026'!C6</f>
        <v/>
      </c>
      <c r="F69" s="28">
        <f>'KERA_02_2026'!D6</f>
        <v/>
      </c>
      <c r="G69" s="28">
        <f>'KERA_02_2026'!E6</f>
        <v/>
      </c>
      <c r="H69" s="28">
        <f>'KERA_02_2026'!F6</f>
        <v/>
      </c>
      <c r="I69" s="27">
        <f>'KERA_02_2026'!G6</f>
        <v/>
      </c>
      <c r="J69" s="28">
        <f>'KERA_02_2026'!H6</f>
        <v/>
      </c>
      <c r="K69" s="27">
        <f>'KERA_02_2026'!I6</f>
        <v/>
      </c>
      <c r="L69" s="28">
        <f>'KERA_02_2026'!J6</f>
        <v/>
      </c>
      <c r="M69" s="27">
        <f>'KERA_02_2026'!K6</f>
        <v/>
      </c>
      <c r="N69" s="29">
        <f>'KERA_02_2026'!L6</f>
        <v/>
      </c>
      <c r="O69" s="29">
        <f>'KERA_02_2026'!M6</f>
        <v/>
      </c>
      <c r="P69" s="29">
        <f>'KERA_02_2026'!N6</f>
        <v/>
      </c>
      <c r="Q69" s="29">
        <f>'KERA_02_2026'!O6</f>
        <v/>
      </c>
      <c r="R69" s="29">
        <f>'KERA_02_2026'!P6</f>
        <v/>
      </c>
      <c r="S69" s="29">
        <f>'KERA_02_2026'!Q6</f>
        <v/>
      </c>
      <c r="T69" s="29" t="inlineStr"/>
      <c r="U69" s="29">
        <f>'KERA_02_2026'!R6</f>
        <v/>
      </c>
      <c r="V69" s="29">
        <f>'KERA_02_2026'!S6</f>
        <v/>
      </c>
      <c r="W69" s="29">
        <f>'KERA_02_2026'!U6</f>
        <v/>
      </c>
      <c r="X69" s="27">
        <f>'KERA_02_2026'!T6</f>
        <v/>
      </c>
      <c r="Y69" s="27" t="inlineStr"/>
      <c r="Z69" s="27" t="inlineStr">
        <is>
          <t>KERA_02_2026!6</t>
        </is>
      </c>
    </row>
    <row r="70">
      <c r="A70" s="27" t="inlineStr">
        <is>
          <t>KERA</t>
        </is>
      </c>
      <c r="B70" s="27">
        <f>'KERA_02_2026'!A7</f>
        <v/>
      </c>
      <c r="C70" s="27">
        <f>'KERA_02_2026'!B7</f>
        <v/>
      </c>
      <c r="D70" s="27" t="inlineStr">
        <is>
          <t>KERA</t>
        </is>
      </c>
      <c r="E70" s="28">
        <f>'KERA_02_2026'!C7</f>
        <v/>
      </c>
      <c r="F70" s="28">
        <f>'KERA_02_2026'!D7</f>
        <v/>
      </c>
      <c r="G70" s="28">
        <f>'KERA_02_2026'!E7</f>
        <v/>
      </c>
      <c r="H70" s="28">
        <f>'KERA_02_2026'!F7</f>
        <v/>
      </c>
      <c r="I70" s="27">
        <f>'KERA_02_2026'!G7</f>
        <v/>
      </c>
      <c r="J70" s="28">
        <f>'KERA_02_2026'!H7</f>
        <v/>
      </c>
      <c r="K70" s="27">
        <f>'KERA_02_2026'!I7</f>
        <v/>
      </c>
      <c r="L70" s="28">
        <f>'KERA_02_2026'!J7</f>
        <v/>
      </c>
      <c r="M70" s="27">
        <f>'KERA_02_2026'!K7</f>
        <v/>
      </c>
      <c r="N70" s="29">
        <f>'KERA_02_2026'!L7</f>
        <v/>
      </c>
      <c r="O70" s="29">
        <f>'KERA_02_2026'!M7</f>
        <v/>
      </c>
      <c r="P70" s="29">
        <f>'KERA_02_2026'!N7</f>
        <v/>
      </c>
      <c r="Q70" s="29">
        <f>'KERA_02_2026'!O7</f>
        <v/>
      </c>
      <c r="R70" s="29">
        <f>'KERA_02_2026'!P7</f>
        <v/>
      </c>
      <c r="S70" s="29">
        <f>'KERA_02_2026'!Q7</f>
        <v/>
      </c>
      <c r="T70" s="29" t="inlineStr"/>
      <c r="U70" s="29">
        <f>'KERA_02_2026'!R7</f>
        <v/>
      </c>
      <c r="V70" s="29">
        <f>'KERA_02_2026'!S7</f>
        <v/>
      </c>
      <c r="W70" s="29">
        <f>'KERA_02_2026'!U7</f>
        <v/>
      </c>
      <c r="X70" s="27">
        <f>'KERA_02_2026'!T7</f>
        <v/>
      </c>
      <c r="Y70" s="27" t="inlineStr"/>
      <c r="Z70" s="27" t="inlineStr">
        <is>
          <t>KERA_02_2026!7</t>
        </is>
      </c>
    </row>
    <row r="71">
      <c r="A71" s="27" t="inlineStr">
        <is>
          <t>KERA</t>
        </is>
      </c>
      <c r="B71" s="27">
        <f>'KERA_02_2026'!A8</f>
        <v/>
      </c>
      <c r="C71" s="27">
        <f>'KERA_02_2026'!B8</f>
        <v/>
      </c>
      <c r="D71" s="27" t="inlineStr">
        <is>
          <t>KERA</t>
        </is>
      </c>
      <c r="E71" s="28">
        <f>'KERA_02_2026'!C8</f>
        <v/>
      </c>
      <c r="F71" s="28">
        <f>'KERA_02_2026'!D8</f>
        <v/>
      </c>
      <c r="G71" s="28">
        <f>'KERA_02_2026'!E8</f>
        <v/>
      </c>
      <c r="H71" s="28">
        <f>'KERA_02_2026'!F8</f>
        <v/>
      </c>
      <c r="I71" s="27">
        <f>'KERA_02_2026'!G8</f>
        <v/>
      </c>
      <c r="J71" s="28">
        <f>'KERA_02_2026'!H8</f>
        <v/>
      </c>
      <c r="K71" s="27">
        <f>'KERA_02_2026'!I8</f>
        <v/>
      </c>
      <c r="L71" s="28">
        <f>'KERA_02_2026'!J8</f>
        <v/>
      </c>
      <c r="M71" s="27">
        <f>'KERA_02_2026'!K8</f>
        <v/>
      </c>
      <c r="N71" s="29">
        <f>'KERA_02_2026'!L8</f>
        <v/>
      </c>
      <c r="O71" s="29">
        <f>'KERA_02_2026'!M8</f>
        <v/>
      </c>
      <c r="P71" s="29">
        <f>'KERA_02_2026'!N8</f>
        <v/>
      </c>
      <c r="Q71" s="29">
        <f>'KERA_02_2026'!O8</f>
        <v/>
      </c>
      <c r="R71" s="29">
        <f>'KERA_02_2026'!P8</f>
        <v/>
      </c>
      <c r="S71" s="29">
        <f>'KERA_02_2026'!Q8</f>
        <v/>
      </c>
      <c r="T71" s="29" t="inlineStr"/>
      <c r="U71" s="29">
        <f>'KERA_02_2026'!R8</f>
        <v/>
      </c>
      <c r="V71" s="29">
        <f>'KERA_02_2026'!S8</f>
        <v/>
      </c>
      <c r="W71" s="29">
        <f>'KERA_02_2026'!U8</f>
        <v/>
      </c>
      <c r="X71" s="27">
        <f>'KERA_02_2026'!T8</f>
        <v/>
      </c>
      <c r="Y71" s="27" t="inlineStr"/>
      <c r="Z71" s="27" t="inlineStr">
        <is>
          <t>KERA_02_2026!8</t>
        </is>
      </c>
    </row>
    <row r="72">
      <c r="A72" s="27" t="inlineStr">
        <is>
          <t>KERA</t>
        </is>
      </c>
      <c r="B72" s="27">
        <f>'KERA_02_2026'!A9</f>
        <v/>
      </c>
      <c r="C72" s="27">
        <f>'KERA_02_2026'!B9</f>
        <v/>
      </c>
      <c r="D72" s="27" t="inlineStr">
        <is>
          <t>KERA</t>
        </is>
      </c>
      <c r="E72" s="28">
        <f>'KERA_02_2026'!C9</f>
        <v/>
      </c>
      <c r="F72" s="28">
        <f>'KERA_02_2026'!D9</f>
        <v/>
      </c>
      <c r="G72" s="28">
        <f>'KERA_02_2026'!E9</f>
        <v/>
      </c>
      <c r="H72" s="28">
        <f>'KERA_02_2026'!F9</f>
        <v/>
      </c>
      <c r="I72" s="27">
        <f>'KERA_02_2026'!G9</f>
        <v/>
      </c>
      <c r="J72" s="28">
        <f>'KERA_02_2026'!H9</f>
        <v/>
      </c>
      <c r="K72" s="27">
        <f>'KERA_02_2026'!I9</f>
        <v/>
      </c>
      <c r="L72" s="28">
        <f>'KERA_02_2026'!J9</f>
        <v/>
      </c>
      <c r="M72" s="27">
        <f>'KERA_02_2026'!K9</f>
        <v/>
      </c>
      <c r="N72" s="29">
        <f>'KERA_02_2026'!L9</f>
        <v/>
      </c>
      <c r="O72" s="29">
        <f>'KERA_02_2026'!M9</f>
        <v/>
      </c>
      <c r="P72" s="29">
        <f>'KERA_02_2026'!N9</f>
        <v/>
      </c>
      <c r="Q72" s="29">
        <f>'KERA_02_2026'!O9</f>
        <v/>
      </c>
      <c r="R72" s="29">
        <f>'KERA_02_2026'!P9</f>
        <v/>
      </c>
      <c r="S72" s="29">
        <f>'KERA_02_2026'!Q9</f>
        <v/>
      </c>
      <c r="T72" s="29" t="inlineStr"/>
      <c r="U72" s="29">
        <f>'KERA_02_2026'!R9</f>
        <v/>
      </c>
      <c r="V72" s="29">
        <f>'KERA_02_2026'!S9</f>
        <v/>
      </c>
      <c r="W72" s="29">
        <f>'KERA_02_2026'!U9</f>
        <v/>
      </c>
      <c r="X72" s="27">
        <f>'KERA_02_2026'!T9</f>
        <v/>
      </c>
      <c r="Y72" s="27" t="inlineStr"/>
      <c r="Z72" s="27" t="inlineStr">
        <is>
          <t>KERA_02_2026!9</t>
        </is>
      </c>
    </row>
    <row r="73">
      <c r="A73" s="27" t="inlineStr">
        <is>
          <t>KERA</t>
        </is>
      </c>
      <c r="B73" s="27">
        <f>'KERA_02_2026'!A10</f>
        <v/>
      </c>
      <c r="C73" s="27">
        <f>'KERA_02_2026'!B10</f>
        <v/>
      </c>
      <c r="D73" s="27" t="inlineStr">
        <is>
          <t>KERA</t>
        </is>
      </c>
      <c r="E73" s="28">
        <f>'KERA_02_2026'!C10</f>
        <v/>
      </c>
      <c r="F73" s="28">
        <f>'KERA_02_2026'!D10</f>
        <v/>
      </c>
      <c r="G73" s="28">
        <f>'KERA_02_2026'!E10</f>
        <v/>
      </c>
      <c r="H73" s="28">
        <f>'KERA_02_2026'!F10</f>
        <v/>
      </c>
      <c r="I73" s="27">
        <f>'KERA_02_2026'!G10</f>
        <v/>
      </c>
      <c r="J73" s="28">
        <f>'KERA_02_2026'!H10</f>
        <v/>
      </c>
      <c r="K73" s="27">
        <f>'KERA_02_2026'!I10</f>
        <v/>
      </c>
      <c r="L73" s="28">
        <f>'KERA_02_2026'!J10</f>
        <v/>
      </c>
      <c r="M73" s="27">
        <f>'KERA_02_2026'!K10</f>
        <v/>
      </c>
      <c r="N73" s="29">
        <f>'KERA_02_2026'!L10</f>
        <v/>
      </c>
      <c r="O73" s="29">
        <f>'KERA_02_2026'!M10</f>
        <v/>
      </c>
      <c r="P73" s="29">
        <f>'KERA_02_2026'!N10</f>
        <v/>
      </c>
      <c r="Q73" s="29">
        <f>'KERA_02_2026'!O10</f>
        <v/>
      </c>
      <c r="R73" s="29">
        <f>'KERA_02_2026'!P10</f>
        <v/>
      </c>
      <c r="S73" s="29">
        <f>'KERA_02_2026'!Q10</f>
        <v/>
      </c>
      <c r="T73" s="29" t="inlineStr"/>
      <c r="U73" s="29">
        <f>'KERA_02_2026'!R10</f>
        <v/>
      </c>
      <c r="V73" s="29">
        <f>'KERA_02_2026'!S10</f>
        <v/>
      </c>
      <c r="W73" s="29">
        <f>'KERA_02_2026'!U10</f>
        <v/>
      </c>
      <c r="X73" s="27">
        <f>'KERA_02_2026'!T10</f>
        <v/>
      </c>
      <c r="Y73" s="27" t="inlineStr"/>
      <c r="Z73" s="27" t="inlineStr">
        <is>
          <t>KERA_02_2026!10</t>
        </is>
      </c>
    </row>
    <row r="74">
      <c r="A74" s="27" t="inlineStr">
        <is>
          <t>KERA</t>
        </is>
      </c>
      <c r="B74" s="27">
        <f>'KERA_02_2026'!A11</f>
        <v/>
      </c>
      <c r="C74" s="27">
        <f>'KERA_02_2026'!B11</f>
        <v/>
      </c>
      <c r="D74" s="27" t="inlineStr">
        <is>
          <t>KERA</t>
        </is>
      </c>
      <c r="E74" s="28">
        <f>'KERA_02_2026'!C11</f>
        <v/>
      </c>
      <c r="F74" s="28">
        <f>'KERA_02_2026'!D11</f>
        <v/>
      </c>
      <c r="G74" s="28">
        <f>'KERA_02_2026'!E11</f>
        <v/>
      </c>
      <c r="H74" s="28">
        <f>'KERA_02_2026'!F11</f>
        <v/>
      </c>
      <c r="I74" s="27">
        <f>'KERA_02_2026'!G11</f>
        <v/>
      </c>
      <c r="J74" s="28">
        <f>'KERA_02_2026'!H11</f>
        <v/>
      </c>
      <c r="K74" s="27">
        <f>'KERA_02_2026'!I11</f>
        <v/>
      </c>
      <c r="L74" s="28">
        <f>'KERA_02_2026'!J11</f>
        <v/>
      </c>
      <c r="M74" s="27">
        <f>'KERA_02_2026'!K11</f>
        <v/>
      </c>
      <c r="N74" s="29">
        <f>'KERA_02_2026'!L11</f>
        <v/>
      </c>
      <c r="O74" s="29">
        <f>'KERA_02_2026'!M11</f>
        <v/>
      </c>
      <c r="P74" s="29">
        <f>'KERA_02_2026'!N11</f>
        <v/>
      </c>
      <c r="Q74" s="29">
        <f>'KERA_02_2026'!O11</f>
        <v/>
      </c>
      <c r="R74" s="29">
        <f>'KERA_02_2026'!P11</f>
        <v/>
      </c>
      <c r="S74" s="29">
        <f>'KERA_02_2026'!Q11</f>
        <v/>
      </c>
      <c r="T74" s="29" t="inlineStr"/>
      <c r="U74" s="29">
        <f>'KERA_02_2026'!R11</f>
        <v/>
      </c>
      <c r="V74" s="29">
        <f>'KERA_02_2026'!S11</f>
        <v/>
      </c>
      <c r="W74" s="29">
        <f>'KERA_02_2026'!U11</f>
        <v/>
      </c>
      <c r="X74" s="27">
        <f>'KERA_02_2026'!T11</f>
        <v/>
      </c>
      <c r="Y74" s="27" t="inlineStr"/>
      <c r="Z74" s="27" t="inlineStr">
        <is>
          <t>KERA_02_2026!11</t>
        </is>
      </c>
    </row>
    <row r="75">
      <c r="A75" s="27" t="inlineStr">
        <is>
          <t>KERA</t>
        </is>
      </c>
      <c r="B75" s="27">
        <f>'KERA_02_2026'!A12</f>
        <v/>
      </c>
      <c r="C75" s="27">
        <f>'KERA_02_2026'!B12</f>
        <v/>
      </c>
      <c r="D75" s="27" t="inlineStr">
        <is>
          <t>KERA</t>
        </is>
      </c>
      <c r="E75" s="28">
        <f>'KERA_02_2026'!C12</f>
        <v/>
      </c>
      <c r="F75" s="28">
        <f>'KERA_02_2026'!D12</f>
        <v/>
      </c>
      <c r="G75" s="28">
        <f>'KERA_02_2026'!E12</f>
        <v/>
      </c>
      <c r="H75" s="28">
        <f>'KERA_02_2026'!F12</f>
        <v/>
      </c>
      <c r="I75" s="27">
        <f>'KERA_02_2026'!G12</f>
        <v/>
      </c>
      <c r="J75" s="28">
        <f>'KERA_02_2026'!H12</f>
        <v/>
      </c>
      <c r="K75" s="27">
        <f>'KERA_02_2026'!I12</f>
        <v/>
      </c>
      <c r="L75" s="28">
        <f>'KERA_02_2026'!J12</f>
        <v/>
      </c>
      <c r="M75" s="27">
        <f>'KERA_02_2026'!K12</f>
        <v/>
      </c>
      <c r="N75" s="29">
        <f>'KERA_02_2026'!L12</f>
        <v/>
      </c>
      <c r="O75" s="29">
        <f>'KERA_02_2026'!M12</f>
        <v/>
      </c>
      <c r="P75" s="29">
        <f>'KERA_02_2026'!N12</f>
        <v/>
      </c>
      <c r="Q75" s="29">
        <f>'KERA_02_2026'!O12</f>
        <v/>
      </c>
      <c r="R75" s="29">
        <f>'KERA_02_2026'!P12</f>
        <v/>
      </c>
      <c r="S75" s="29">
        <f>'KERA_02_2026'!Q12</f>
        <v/>
      </c>
      <c r="T75" s="29" t="inlineStr"/>
      <c r="U75" s="29">
        <f>'KERA_02_2026'!R12</f>
        <v/>
      </c>
      <c r="V75" s="29">
        <f>'KERA_02_2026'!S12</f>
        <v/>
      </c>
      <c r="W75" s="29">
        <f>'KERA_02_2026'!U12</f>
        <v/>
      </c>
      <c r="X75" s="27">
        <f>'KERA_02_2026'!T12</f>
        <v/>
      </c>
      <c r="Y75" s="27" t="inlineStr"/>
      <c r="Z75" s="27" t="inlineStr">
        <is>
          <t>KERA_02_2026!12</t>
        </is>
      </c>
    </row>
    <row r="76">
      <c r="A76" s="27" t="inlineStr">
        <is>
          <t>KERA</t>
        </is>
      </c>
      <c r="B76" s="27">
        <f>'KERA_02_2026'!A13</f>
        <v/>
      </c>
      <c r="C76" s="27">
        <f>'KERA_02_2026'!B13</f>
        <v/>
      </c>
      <c r="D76" s="27" t="inlineStr">
        <is>
          <t>KERA</t>
        </is>
      </c>
      <c r="E76" s="28">
        <f>'KERA_02_2026'!C13</f>
        <v/>
      </c>
      <c r="F76" s="28">
        <f>'KERA_02_2026'!D13</f>
        <v/>
      </c>
      <c r="G76" s="28">
        <f>'KERA_02_2026'!E13</f>
        <v/>
      </c>
      <c r="H76" s="28">
        <f>'KERA_02_2026'!F13</f>
        <v/>
      </c>
      <c r="I76" s="27">
        <f>'KERA_02_2026'!G13</f>
        <v/>
      </c>
      <c r="J76" s="28">
        <f>'KERA_02_2026'!H13</f>
        <v/>
      </c>
      <c r="K76" s="27">
        <f>'KERA_02_2026'!I13</f>
        <v/>
      </c>
      <c r="L76" s="28">
        <f>'KERA_02_2026'!J13</f>
        <v/>
      </c>
      <c r="M76" s="27">
        <f>'KERA_02_2026'!K13</f>
        <v/>
      </c>
      <c r="N76" s="29">
        <f>'KERA_02_2026'!L13</f>
        <v/>
      </c>
      <c r="O76" s="29">
        <f>'KERA_02_2026'!M13</f>
        <v/>
      </c>
      <c r="P76" s="29">
        <f>'KERA_02_2026'!N13</f>
        <v/>
      </c>
      <c r="Q76" s="29">
        <f>'KERA_02_2026'!O13</f>
        <v/>
      </c>
      <c r="R76" s="29">
        <f>'KERA_02_2026'!P13</f>
        <v/>
      </c>
      <c r="S76" s="29">
        <f>'KERA_02_2026'!Q13</f>
        <v/>
      </c>
      <c r="T76" s="29" t="inlineStr"/>
      <c r="U76" s="29">
        <f>'KERA_02_2026'!R13</f>
        <v/>
      </c>
      <c r="V76" s="29">
        <f>'KERA_02_2026'!S13</f>
        <v/>
      </c>
      <c r="W76" s="29">
        <f>'KERA_02_2026'!U13</f>
        <v/>
      </c>
      <c r="X76" s="27">
        <f>'KERA_02_2026'!T13</f>
        <v/>
      </c>
      <c r="Y76" s="27" t="inlineStr"/>
      <c r="Z76" s="27" t="inlineStr">
        <is>
          <t>KERA_02_2026!13</t>
        </is>
      </c>
    </row>
    <row r="77">
      <c r="A77" s="27" t="inlineStr">
        <is>
          <t>KERA</t>
        </is>
      </c>
      <c r="B77" s="27">
        <f>'KERA_02_2026'!A14</f>
        <v/>
      </c>
      <c r="C77" s="27">
        <f>'KERA_02_2026'!B14</f>
        <v/>
      </c>
      <c r="D77" s="27" t="inlineStr">
        <is>
          <t>KERA</t>
        </is>
      </c>
      <c r="E77" s="28">
        <f>'KERA_02_2026'!C14</f>
        <v/>
      </c>
      <c r="F77" s="28">
        <f>'KERA_02_2026'!D14</f>
        <v/>
      </c>
      <c r="G77" s="28">
        <f>'KERA_02_2026'!E14</f>
        <v/>
      </c>
      <c r="H77" s="28">
        <f>'KERA_02_2026'!F14</f>
        <v/>
      </c>
      <c r="I77" s="27">
        <f>'KERA_02_2026'!G14</f>
        <v/>
      </c>
      <c r="J77" s="28">
        <f>'KERA_02_2026'!H14</f>
        <v/>
      </c>
      <c r="K77" s="27">
        <f>'KERA_02_2026'!I14</f>
        <v/>
      </c>
      <c r="L77" s="28">
        <f>'KERA_02_2026'!J14</f>
        <v/>
      </c>
      <c r="M77" s="27">
        <f>'KERA_02_2026'!K14</f>
        <v/>
      </c>
      <c r="N77" s="29">
        <f>'KERA_02_2026'!L14</f>
        <v/>
      </c>
      <c r="O77" s="29">
        <f>'KERA_02_2026'!M14</f>
        <v/>
      </c>
      <c r="P77" s="29">
        <f>'KERA_02_2026'!N14</f>
        <v/>
      </c>
      <c r="Q77" s="29">
        <f>'KERA_02_2026'!O14</f>
        <v/>
      </c>
      <c r="R77" s="29">
        <f>'KERA_02_2026'!P14</f>
        <v/>
      </c>
      <c r="S77" s="29">
        <f>'KERA_02_2026'!Q14</f>
        <v/>
      </c>
      <c r="T77" s="29" t="inlineStr"/>
      <c r="U77" s="29">
        <f>'KERA_02_2026'!R14</f>
        <v/>
      </c>
      <c r="V77" s="29">
        <f>'KERA_02_2026'!S14</f>
        <v/>
      </c>
      <c r="W77" s="29">
        <f>'KERA_02_2026'!U14</f>
        <v/>
      </c>
      <c r="X77" s="27">
        <f>'KERA_02_2026'!T14</f>
        <v/>
      </c>
      <c r="Y77" s="27" t="inlineStr"/>
      <c r="Z77" s="27" t="inlineStr">
        <is>
          <t>KERA_02_2026!14</t>
        </is>
      </c>
    </row>
    <row r="78">
      <c r="A78" s="27" t="inlineStr">
        <is>
          <t>KERA</t>
        </is>
      </c>
      <c r="B78" s="27">
        <f>'KERA_02_2026'!A15</f>
        <v/>
      </c>
      <c r="C78" s="27">
        <f>'KERA_02_2026'!B15</f>
        <v/>
      </c>
      <c r="D78" s="27" t="inlineStr">
        <is>
          <t>KERA</t>
        </is>
      </c>
      <c r="E78" s="28">
        <f>'KERA_02_2026'!C15</f>
        <v/>
      </c>
      <c r="F78" s="28">
        <f>'KERA_02_2026'!D15</f>
        <v/>
      </c>
      <c r="G78" s="28">
        <f>'KERA_02_2026'!E15</f>
        <v/>
      </c>
      <c r="H78" s="28">
        <f>'KERA_02_2026'!F15</f>
        <v/>
      </c>
      <c r="I78" s="27">
        <f>'KERA_02_2026'!G15</f>
        <v/>
      </c>
      <c r="J78" s="28">
        <f>'KERA_02_2026'!H15</f>
        <v/>
      </c>
      <c r="K78" s="27">
        <f>'KERA_02_2026'!I15</f>
        <v/>
      </c>
      <c r="L78" s="28">
        <f>'KERA_02_2026'!J15</f>
        <v/>
      </c>
      <c r="M78" s="27">
        <f>'KERA_02_2026'!K15</f>
        <v/>
      </c>
      <c r="N78" s="29">
        <f>'KERA_02_2026'!L15</f>
        <v/>
      </c>
      <c r="O78" s="29">
        <f>'KERA_02_2026'!M15</f>
        <v/>
      </c>
      <c r="P78" s="29">
        <f>'KERA_02_2026'!N15</f>
        <v/>
      </c>
      <c r="Q78" s="29">
        <f>'KERA_02_2026'!O15</f>
        <v/>
      </c>
      <c r="R78" s="29">
        <f>'KERA_02_2026'!P15</f>
        <v/>
      </c>
      <c r="S78" s="29">
        <f>'KERA_02_2026'!Q15</f>
        <v/>
      </c>
      <c r="T78" s="29" t="inlineStr"/>
      <c r="U78" s="29">
        <f>'KERA_02_2026'!R15</f>
        <v/>
      </c>
      <c r="V78" s="29">
        <f>'KERA_02_2026'!S15</f>
        <v/>
      </c>
      <c r="W78" s="29">
        <f>'KERA_02_2026'!U15</f>
        <v/>
      </c>
      <c r="X78" s="27">
        <f>'KERA_02_2026'!T15</f>
        <v/>
      </c>
      <c r="Y78" s="27" t="inlineStr"/>
      <c r="Z78" s="27" t="inlineStr">
        <is>
          <t>KERA_02_2026!15</t>
        </is>
      </c>
    </row>
    <row r="79">
      <c r="A79" s="27" t="inlineStr">
        <is>
          <t>KERA</t>
        </is>
      </c>
      <c r="B79" s="27">
        <f>'KERA_02_2026'!A16</f>
        <v/>
      </c>
      <c r="C79" s="27">
        <f>'KERA_02_2026'!B16</f>
        <v/>
      </c>
      <c r="D79" s="27" t="inlineStr">
        <is>
          <t>KERA</t>
        </is>
      </c>
      <c r="E79" s="28">
        <f>'KERA_02_2026'!C16</f>
        <v/>
      </c>
      <c r="F79" s="28">
        <f>'KERA_02_2026'!D16</f>
        <v/>
      </c>
      <c r="G79" s="28">
        <f>'KERA_02_2026'!E16</f>
        <v/>
      </c>
      <c r="H79" s="28">
        <f>'KERA_02_2026'!F16</f>
        <v/>
      </c>
      <c r="I79" s="27">
        <f>'KERA_02_2026'!G16</f>
        <v/>
      </c>
      <c r="J79" s="28">
        <f>'KERA_02_2026'!H16</f>
        <v/>
      </c>
      <c r="K79" s="27">
        <f>'KERA_02_2026'!I16</f>
        <v/>
      </c>
      <c r="L79" s="28">
        <f>'KERA_02_2026'!J16</f>
        <v/>
      </c>
      <c r="M79" s="27">
        <f>'KERA_02_2026'!K16</f>
        <v/>
      </c>
      <c r="N79" s="29">
        <f>'KERA_02_2026'!L16</f>
        <v/>
      </c>
      <c r="O79" s="29">
        <f>'KERA_02_2026'!M16</f>
        <v/>
      </c>
      <c r="P79" s="29">
        <f>'KERA_02_2026'!N16</f>
        <v/>
      </c>
      <c r="Q79" s="29">
        <f>'KERA_02_2026'!O16</f>
        <v/>
      </c>
      <c r="R79" s="29">
        <f>'KERA_02_2026'!P16</f>
        <v/>
      </c>
      <c r="S79" s="29">
        <f>'KERA_02_2026'!Q16</f>
        <v/>
      </c>
      <c r="T79" s="29" t="inlineStr"/>
      <c r="U79" s="29">
        <f>'KERA_02_2026'!R16</f>
        <v/>
      </c>
      <c r="V79" s="29">
        <f>'KERA_02_2026'!S16</f>
        <v/>
      </c>
      <c r="W79" s="29">
        <f>'KERA_02_2026'!U16</f>
        <v/>
      </c>
      <c r="X79" s="27">
        <f>'KERA_02_2026'!T16</f>
        <v/>
      </c>
      <c r="Y79" s="27" t="inlineStr"/>
      <c r="Z79" s="27" t="inlineStr">
        <is>
          <t>KERA_02_2026!16</t>
        </is>
      </c>
    </row>
    <row r="80">
      <c r="A80" s="27" t="inlineStr">
        <is>
          <t>KERA</t>
        </is>
      </c>
      <c r="B80" s="27">
        <f>'KERA_02_2026'!A17</f>
        <v/>
      </c>
      <c r="C80" s="27">
        <f>'KERA_02_2026'!B17</f>
        <v/>
      </c>
      <c r="D80" s="27" t="inlineStr">
        <is>
          <t>KERA</t>
        </is>
      </c>
      <c r="E80" s="28">
        <f>'KERA_02_2026'!C17</f>
        <v/>
      </c>
      <c r="F80" s="28">
        <f>'KERA_02_2026'!D17</f>
        <v/>
      </c>
      <c r="G80" s="28">
        <f>'KERA_02_2026'!E17</f>
        <v/>
      </c>
      <c r="H80" s="28">
        <f>'KERA_02_2026'!F17</f>
        <v/>
      </c>
      <c r="I80" s="27">
        <f>'KERA_02_2026'!G17</f>
        <v/>
      </c>
      <c r="J80" s="28">
        <f>'KERA_02_2026'!H17</f>
        <v/>
      </c>
      <c r="K80" s="27">
        <f>'KERA_02_2026'!I17</f>
        <v/>
      </c>
      <c r="L80" s="28">
        <f>'KERA_02_2026'!J17</f>
        <v/>
      </c>
      <c r="M80" s="27">
        <f>'KERA_02_2026'!K17</f>
        <v/>
      </c>
      <c r="N80" s="29">
        <f>'KERA_02_2026'!L17</f>
        <v/>
      </c>
      <c r="O80" s="29">
        <f>'KERA_02_2026'!M17</f>
        <v/>
      </c>
      <c r="P80" s="29">
        <f>'KERA_02_2026'!N17</f>
        <v/>
      </c>
      <c r="Q80" s="29">
        <f>'KERA_02_2026'!O17</f>
        <v/>
      </c>
      <c r="R80" s="29">
        <f>'KERA_02_2026'!P17</f>
        <v/>
      </c>
      <c r="S80" s="29">
        <f>'KERA_02_2026'!Q17</f>
        <v/>
      </c>
      <c r="T80" s="29" t="inlineStr"/>
      <c r="U80" s="29">
        <f>'KERA_02_2026'!R17</f>
        <v/>
      </c>
      <c r="V80" s="29">
        <f>'KERA_02_2026'!S17</f>
        <v/>
      </c>
      <c r="W80" s="29">
        <f>'KERA_02_2026'!U17</f>
        <v/>
      </c>
      <c r="X80" s="27">
        <f>'KERA_02_2026'!T17</f>
        <v/>
      </c>
      <c r="Y80" s="27" t="inlineStr"/>
      <c r="Z80" s="27" t="inlineStr">
        <is>
          <t>KERA_02_2026!17</t>
        </is>
      </c>
    </row>
    <row r="81">
      <c r="A81" s="27" t="inlineStr">
        <is>
          <t>KERA</t>
        </is>
      </c>
      <c r="B81" s="27">
        <f>'KERA_02_2026'!A18</f>
        <v/>
      </c>
      <c r="C81" s="27">
        <f>'KERA_02_2026'!B18</f>
        <v/>
      </c>
      <c r="D81" s="27" t="inlineStr">
        <is>
          <t>KERA</t>
        </is>
      </c>
      <c r="E81" s="28">
        <f>'KERA_02_2026'!C18</f>
        <v/>
      </c>
      <c r="F81" s="28">
        <f>'KERA_02_2026'!D18</f>
        <v/>
      </c>
      <c r="G81" s="28">
        <f>'KERA_02_2026'!E18</f>
        <v/>
      </c>
      <c r="H81" s="28">
        <f>'KERA_02_2026'!F18</f>
        <v/>
      </c>
      <c r="I81" s="27">
        <f>'KERA_02_2026'!G18</f>
        <v/>
      </c>
      <c r="J81" s="28">
        <f>'KERA_02_2026'!H18</f>
        <v/>
      </c>
      <c r="K81" s="27">
        <f>'KERA_02_2026'!I18</f>
        <v/>
      </c>
      <c r="L81" s="28">
        <f>'KERA_02_2026'!J18</f>
        <v/>
      </c>
      <c r="M81" s="27">
        <f>'KERA_02_2026'!K18</f>
        <v/>
      </c>
      <c r="N81" s="29">
        <f>'KERA_02_2026'!L18</f>
        <v/>
      </c>
      <c r="O81" s="29">
        <f>'KERA_02_2026'!M18</f>
        <v/>
      </c>
      <c r="P81" s="29">
        <f>'KERA_02_2026'!N18</f>
        <v/>
      </c>
      <c r="Q81" s="29">
        <f>'KERA_02_2026'!O18</f>
        <v/>
      </c>
      <c r="R81" s="29">
        <f>'KERA_02_2026'!P18</f>
        <v/>
      </c>
      <c r="S81" s="29">
        <f>'KERA_02_2026'!Q18</f>
        <v/>
      </c>
      <c r="T81" s="29" t="inlineStr"/>
      <c r="U81" s="29">
        <f>'KERA_02_2026'!R18</f>
        <v/>
      </c>
      <c r="V81" s="29">
        <f>'KERA_02_2026'!S18</f>
        <v/>
      </c>
      <c r="W81" s="29">
        <f>'KERA_02_2026'!U18</f>
        <v/>
      </c>
      <c r="X81" s="27">
        <f>'KERA_02_2026'!T18</f>
        <v/>
      </c>
      <c r="Y81" s="27" t="inlineStr"/>
      <c r="Z81" s="27" t="inlineStr">
        <is>
          <t>KERA_02_2026!18</t>
        </is>
      </c>
    </row>
    <row r="82">
      <c r="A82" s="27" t="inlineStr">
        <is>
          <t>KERA</t>
        </is>
      </c>
      <c r="B82" s="27">
        <f>'KERA_02_2026'!A19</f>
        <v/>
      </c>
      <c r="C82" s="27">
        <f>'KERA_02_2026'!B19</f>
        <v/>
      </c>
      <c r="D82" s="27" t="inlineStr">
        <is>
          <t>KERA</t>
        </is>
      </c>
      <c r="E82" s="28">
        <f>'KERA_02_2026'!C19</f>
        <v/>
      </c>
      <c r="F82" s="28">
        <f>'KERA_02_2026'!D19</f>
        <v/>
      </c>
      <c r="G82" s="28">
        <f>'KERA_02_2026'!E19</f>
        <v/>
      </c>
      <c r="H82" s="28">
        <f>'KERA_02_2026'!F19</f>
        <v/>
      </c>
      <c r="I82" s="27">
        <f>'KERA_02_2026'!G19</f>
        <v/>
      </c>
      <c r="J82" s="28">
        <f>'KERA_02_2026'!H19</f>
        <v/>
      </c>
      <c r="K82" s="27">
        <f>'KERA_02_2026'!I19</f>
        <v/>
      </c>
      <c r="L82" s="28">
        <f>'KERA_02_2026'!J19</f>
        <v/>
      </c>
      <c r="M82" s="27">
        <f>'KERA_02_2026'!K19</f>
        <v/>
      </c>
      <c r="N82" s="29">
        <f>'KERA_02_2026'!L19</f>
        <v/>
      </c>
      <c r="O82" s="29">
        <f>'KERA_02_2026'!M19</f>
        <v/>
      </c>
      <c r="P82" s="29">
        <f>'KERA_02_2026'!N19</f>
        <v/>
      </c>
      <c r="Q82" s="29">
        <f>'KERA_02_2026'!O19</f>
        <v/>
      </c>
      <c r="R82" s="29">
        <f>'KERA_02_2026'!P19</f>
        <v/>
      </c>
      <c r="S82" s="29">
        <f>'KERA_02_2026'!Q19</f>
        <v/>
      </c>
      <c r="T82" s="29" t="inlineStr"/>
      <c r="U82" s="29">
        <f>'KERA_02_2026'!R19</f>
        <v/>
      </c>
      <c r="V82" s="29">
        <f>'KERA_02_2026'!S19</f>
        <v/>
      </c>
      <c r="W82" s="29">
        <f>'KERA_02_2026'!U19</f>
        <v/>
      </c>
      <c r="X82" s="27">
        <f>'KERA_02_2026'!T19</f>
        <v/>
      </c>
      <c r="Y82" s="27" t="inlineStr"/>
      <c r="Z82" s="27" t="inlineStr">
        <is>
          <t>KERA_02_2026!19</t>
        </is>
      </c>
    </row>
    <row r="83">
      <c r="A83" s="27" t="inlineStr">
        <is>
          <t>KERA</t>
        </is>
      </c>
      <c r="B83" s="27">
        <f>'KERA_02_2026'!A20</f>
        <v/>
      </c>
      <c r="C83" s="27">
        <f>'KERA_02_2026'!B20</f>
        <v/>
      </c>
      <c r="D83" s="27" t="inlineStr">
        <is>
          <t>KERA</t>
        </is>
      </c>
      <c r="E83" s="28">
        <f>'KERA_02_2026'!C20</f>
        <v/>
      </c>
      <c r="F83" s="28">
        <f>'KERA_02_2026'!D20</f>
        <v/>
      </c>
      <c r="G83" s="28">
        <f>'KERA_02_2026'!E20</f>
        <v/>
      </c>
      <c r="H83" s="28">
        <f>'KERA_02_2026'!F20</f>
        <v/>
      </c>
      <c r="I83" s="27">
        <f>'KERA_02_2026'!G20</f>
        <v/>
      </c>
      <c r="J83" s="28">
        <f>'KERA_02_2026'!H20</f>
        <v/>
      </c>
      <c r="K83" s="27">
        <f>'KERA_02_2026'!I20</f>
        <v/>
      </c>
      <c r="L83" s="28">
        <f>'KERA_02_2026'!J20</f>
        <v/>
      </c>
      <c r="M83" s="27">
        <f>'KERA_02_2026'!K20</f>
        <v/>
      </c>
      <c r="N83" s="29">
        <f>'KERA_02_2026'!L20</f>
        <v/>
      </c>
      <c r="O83" s="29">
        <f>'KERA_02_2026'!M20</f>
        <v/>
      </c>
      <c r="P83" s="29">
        <f>'KERA_02_2026'!N20</f>
        <v/>
      </c>
      <c r="Q83" s="29">
        <f>'KERA_02_2026'!O20</f>
        <v/>
      </c>
      <c r="R83" s="29">
        <f>'KERA_02_2026'!P20</f>
        <v/>
      </c>
      <c r="S83" s="29">
        <f>'KERA_02_2026'!Q20</f>
        <v/>
      </c>
      <c r="T83" s="29" t="inlineStr"/>
      <c r="U83" s="29">
        <f>'KERA_02_2026'!R20</f>
        <v/>
      </c>
      <c r="V83" s="29">
        <f>'KERA_02_2026'!S20</f>
        <v/>
      </c>
      <c r="W83" s="29">
        <f>'KERA_02_2026'!U20</f>
        <v/>
      </c>
      <c r="X83" s="27">
        <f>'KERA_02_2026'!T20</f>
        <v/>
      </c>
      <c r="Y83" s="27" t="inlineStr"/>
      <c r="Z83" s="27" t="inlineStr">
        <is>
          <t>KERA_02_2026!20</t>
        </is>
      </c>
    </row>
    <row r="84">
      <c r="A84" s="27" t="inlineStr">
        <is>
          <t>KERA</t>
        </is>
      </c>
      <c r="B84" s="27">
        <f>'KERA_02_2026'!A21</f>
        <v/>
      </c>
      <c r="C84" s="27">
        <f>'KERA_02_2026'!B21</f>
        <v/>
      </c>
      <c r="D84" s="27" t="inlineStr">
        <is>
          <t>VZC</t>
        </is>
      </c>
      <c r="E84" s="28">
        <f>'KERA_02_2026'!C21</f>
        <v/>
      </c>
      <c r="F84" s="28">
        <f>'KERA_02_2026'!D21</f>
        <v/>
      </c>
      <c r="G84" s="28">
        <f>'KERA_02_2026'!E21</f>
        <v/>
      </c>
      <c r="H84" s="28">
        <f>'KERA_02_2026'!F21</f>
        <v/>
      </c>
      <c r="I84" s="27">
        <f>'KERA_02_2026'!G21</f>
        <v/>
      </c>
      <c r="J84" s="28">
        <f>'KERA_02_2026'!H21</f>
        <v/>
      </c>
      <c r="K84" s="27">
        <f>'KERA_02_2026'!I21</f>
        <v/>
      </c>
      <c r="L84" s="28">
        <f>'KERA_02_2026'!J21</f>
        <v/>
      </c>
      <c r="M84" s="27">
        <f>'KERA_02_2026'!K21</f>
        <v/>
      </c>
      <c r="N84" s="29">
        <f>'KERA_02_2026'!L21</f>
        <v/>
      </c>
      <c r="O84" s="29">
        <f>'KERA_02_2026'!M21</f>
        <v/>
      </c>
      <c r="P84" s="29">
        <f>'KERA_02_2026'!N21</f>
        <v/>
      </c>
      <c r="Q84" s="29">
        <f>'KERA_02_2026'!O21</f>
        <v/>
      </c>
      <c r="R84" s="29">
        <f>'KERA_02_2026'!P21</f>
        <v/>
      </c>
      <c r="S84" s="29">
        <f>'KERA_02_2026'!Q21</f>
        <v/>
      </c>
      <c r="T84" s="29" t="inlineStr"/>
      <c r="U84" s="29">
        <f>'KERA_02_2026'!R21</f>
        <v/>
      </c>
      <c r="V84" s="29">
        <f>'KERA_02_2026'!S21</f>
        <v/>
      </c>
      <c r="W84" s="29">
        <f>'KERA_02_2026'!U21</f>
        <v/>
      </c>
      <c r="X84" s="27">
        <f>'KERA_02_2026'!T21</f>
        <v/>
      </c>
      <c r="Y84" s="27" t="inlineStr"/>
      <c r="Z84" s="27" t="inlineStr">
        <is>
          <t>KERA_02_2026!21</t>
        </is>
      </c>
    </row>
    <row r="85">
      <c r="A85" s="27" t="inlineStr">
        <is>
          <t>KERA</t>
        </is>
      </c>
      <c r="B85" s="27">
        <f>'KERA_02_2026'!A22</f>
        <v/>
      </c>
      <c r="C85" s="27">
        <f>'KERA_02_2026'!B22</f>
        <v/>
      </c>
      <c r="D85" s="27" t="inlineStr">
        <is>
          <t>KERA</t>
        </is>
      </c>
      <c r="E85" s="28">
        <f>'KERA_02_2026'!C22</f>
        <v/>
      </c>
      <c r="F85" s="28">
        <f>'KERA_02_2026'!D22</f>
        <v/>
      </c>
      <c r="G85" s="28">
        <f>'KERA_02_2026'!E22</f>
        <v/>
      </c>
      <c r="H85" s="28">
        <f>'KERA_02_2026'!F22</f>
        <v/>
      </c>
      <c r="I85" s="27">
        <f>'KERA_02_2026'!G22</f>
        <v/>
      </c>
      <c r="J85" s="28">
        <f>'KERA_02_2026'!H22</f>
        <v/>
      </c>
      <c r="K85" s="27">
        <f>'KERA_02_2026'!I22</f>
        <v/>
      </c>
      <c r="L85" s="28">
        <f>'KERA_02_2026'!J22</f>
        <v/>
      </c>
      <c r="M85" s="27">
        <f>'KERA_02_2026'!K22</f>
        <v/>
      </c>
      <c r="N85" s="29">
        <f>'KERA_02_2026'!L22</f>
        <v/>
      </c>
      <c r="O85" s="29">
        <f>'KERA_02_2026'!M22</f>
        <v/>
      </c>
      <c r="P85" s="29">
        <f>'KERA_02_2026'!N22</f>
        <v/>
      </c>
      <c r="Q85" s="29">
        <f>'KERA_02_2026'!O22</f>
        <v/>
      </c>
      <c r="R85" s="29">
        <f>'KERA_02_2026'!P22</f>
        <v/>
      </c>
      <c r="S85" s="29">
        <f>'KERA_02_2026'!Q22</f>
        <v/>
      </c>
      <c r="T85" s="29" t="inlineStr"/>
      <c r="U85" s="29">
        <f>'KERA_02_2026'!R22</f>
        <v/>
      </c>
      <c r="V85" s="29">
        <f>'KERA_02_2026'!S22</f>
        <v/>
      </c>
      <c r="W85" s="29">
        <f>'KERA_02_2026'!U22</f>
        <v/>
      </c>
      <c r="X85" s="27">
        <f>'KERA_02_2026'!T22</f>
        <v/>
      </c>
      <c r="Y85" s="27" t="inlineStr"/>
      <c r="Z85" s="27" t="inlineStr">
        <is>
          <t>KERA_02_2026!22</t>
        </is>
      </c>
    </row>
    <row r="86">
      <c r="A86" s="27" t="inlineStr">
        <is>
          <t>KERA</t>
        </is>
      </c>
      <c r="B86" s="27">
        <f>'KERA_02_2026'!A23</f>
        <v/>
      </c>
      <c r="C86" s="27">
        <f>'KERA_02_2026'!B23</f>
        <v/>
      </c>
      <c r="D86" s="27" t="inlineStr">
        <is>
          <t>KERA</t>
        </is>
      </c>
      <c r="E86" s="28">
        <f>'KERA_02_2026'!C23</f>
        <v/>
      </c>
      <c r="F86" s="28">
        <f>'KERA_02_2026'!D23</f>
        <v/>
      </c>
      <c r="G86" s="28">
        <f>'KERA_02_2026'!E23</f>
        <v/>
      </c>
      <c r="H86" s="28">
        <f>'KERA_02_2026'!F23</f>
        <v/>
      </c>
      <c r="I86" s="27">
        <f>'KERA_02_2026'!G23</f>
        <v/>
      </c>
      <c r="J86" s="28">
        <f>'KERA_02_2026'!H23</f>
        <v/>
      </c>
      <c r="K86" s="27">
        <f>'KERA_02_2026'!I23</f>
        <v/>
      </c>
      <c r="L86" s="28">
        <f>'KERA_02_2026'!J23</f>
        <v/>
      </c>
      <c r="M86" s="27">
        <f>'KERA_02_2026'!K23</f>
        <v/>
      </c>
      <c r="N86" s="29">
        <f>'KERA_02_2026'!L23</f>
        <v/>
      </c>
      <c r="O86" s="29">
        <f>'KERA_02_2026'!M23</f>
        <v/>
      </c>
      <c r="P86" s="29">
        <f>'KERA_02_2026'!N23</f>
        <v/>
      </c>
      <c r="Q86" s="29">
        <f>'KERA_02_2026'!O23</f>
        <v/>
      </c>
      <c r="R86" s="29">
        <f>'KERA_02_2026'!P23</f>
        <v/>
      </c>
      <c r="S86" s="29">
        <f>'KERA_02_2026'!Q23</f>
        <v/>
      </c>
      <c r="T86" s="29" t="inlineStr"/>
      <c r="U86" s="29">
        <f>'KERA_02_2026'!R23</f>
        <v/>
      </c>
      <c r="V86" s="29">
        <f>'KERA_02_2026'!S23</f>
        <v/>
      </c>
      <c r="W86" s="29">
        <f>'KERA_02_2026'!U23</f>
        <v/>
      </c>
      <c r="X86" s="27">
        <f>'KERA_02_2026'!T23</f>
        <v/>
      </c>
      <c r="Y86" s="27" t="inlineStr"/>
      <c r="Z86" s="27" t="inlineStr">
        <is>
          <t>KERA_02_2026!23</t>
        </is>
      </c>
    </row>
  </sheetData>
  <mergeCells count="2">
    <mergeCell ref="A1:Z1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style="20" min="1" max="1"/>
    <col width="14" customWidth="1" style="20" min="2" max="2"/>
  </cols>
  <sheetData>
    <row r="1">
      <c r="A1" s="24" t="inlineStr">
        <is>
          <t>HOLDING – souhrn</t>
        </is>
      </c>
    </row>
    <row r="3">
      <c r="A3" s="30" t="inlineStr">
        <is>
          <t>Ukazatel</t>
        </is>
      </c>
      <c r="B3" s="30" t="inlineStr">
        <is>
          <t>Hodnota</t>
        </is>
      </c>
    </row>
    <row r="4">
      <c r="A4" t="inlineStr">
        <is>
          <t>Počet řádků celkem</t>
        </is>
      </c>
      <c r="B4">
        <f>COUNTA('HOLDING_02_2026'!B5:B86)</f>
        <v/>
      </c>
    </row>
    <row r="5">
      <c r="A5" t="inlineStr">
        <is>
          <t>Počet řádků VZC</t>
        </is>
      </c>
      <c r="B5">
        <f>COUNTIF('HOLDING_02_2026'!A5:A86,"VZC")</f>
        <v/>
      </c>
    </row>
    <row r="6">
      <c r="A6" t="inlineStr">
        <is>
          <t>Počet řádků KERA</t>
        </is>
      </c>
      <c r="B6">
        <f>COUNTIF('HOLDING_02_2026'!A5:A86,"KERA")</f>
        <v/>
      </c>
    </row>
    <row r="8">
      <c r="A8" t="inlineStr">
        <is>
          <t>Řádky s obratem pro osobko</t>
        </is>
      </c>
      <c r="B8">
        <f>COUNTIF('HOLDING_02_2026'!W5:W86,"&gt;0")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3" topLeftCell="A22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Ústí</t>
        </is>
      </c>
      <c r="D4" s="3" t="n">
        <v>20</v>
      </c>
      <c r="E4" s="3" t="n">
        <v>18</v>
      </c>
      <c r="F4" s="3" t="n"/>
      <c r="G4" s="3" t="n">
        <v>16</v>
      </c>
      <c r="H4" s="3" t="inlineStr">
        <is>
          <t>24.-25.2.</t>
        </is>
      </c>
      <c r="I4" s="3" t="n"/>
      <c r="J4" s="3" t="n"/>
      <c r="K4" s="4" t="n">
        <v>35000</v>
      </c>
      <c r="L4" s="4" t="n"/>
      <c r="M4" s="4" t="n">
        <v>11990</v>
      </c>
      <c r="N4" s="4" t="n"/>
      <c r="O4" s="4" t="n">
        <v>100</v>
      </c>
      <c r="P4" s="4" t="n">
        <v>500</v>
      </c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>
        <v>11990</v>
      </c>
      <c r="N5" s="4" t="n"/>
      <c r="O5" s="4" t="n"/>
      <c r="P5" s="4" t="n"/>
      <c r="Q5" s="4" t="n"/>
      <c r="R5" s="4" t="n">
        <v>200</v>
      </c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Ústí</t>
        </is>
      </c>
      <c r="D6" s="3" t="n">
        <v>20</v>
      </c>
      <c r="E6" s="3" t="n">
        <v>20</v>
      </c>
      <c r="F6" s="3" t="n"/>
      <c r="G6" s="3" t="n"/>
      <c r="H6" s="3" t="n"/>
      <c r="I6" s="3" t="n"/>
      <c r="J6" s="3" t="n"/>
      <c r="K6" s="4" t="n">
        <v>35000</v>
      </c>
      <c r="L6" s="4" t="n"/>
      <c r="M6" s="4" t="n">
        <v>11990</v>
      </c>
      <c r="N6" s="4" t="n"/>
      <c r="O6" s="4" t="n">
        <v>100</v>
      </c>
      <c r="P6" s="4" t="n">
        <v>500</v>
      </c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>
        <v>21000</v>
      </c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Louny</t>
        </is>
      </c>
      <c r="D8" s="3" t="n">
        <v>20</v>
      </c>
      <c r="E8" s="3" t="n">
        <v>20</v>
      </c>
      <c r="F8" s="3" t="n"/>
      <c r="G8" s="3" t="n"/>
      <c r="H8" s="3" t="n"/>
      <c r="I8" s="3" t="n"/>
      <c r="J8" s="3" t="n"/>
      <c r="K8" s="4" t="n">
        <v>30000</v>
      </c>
      <c r="L8" s="4" t="n"/>
      <c r="M8" s="4" t="n">
        <v>11990</v>
      </c>
      <c r="N8" s="4" t="n"/>
      <c r="O8" s="4" t="n"/>
      <c r="P8" s="4" t="n"/>
      <c r="Q8" s="4" t="n">
        <v>485</v>
      </c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inlineStr">
        <is>
          <t>ANO</t>
        </is>
      </c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inlineStr">
        <is>
          <t>ANO</t>
        </is>
      </c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>
        <v>20</v>
      </c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inlineStr">
        <is>
          <t>ANO</t>
        </is>
      </c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inlineStr">
        <is>
          <t>ANO</t>
        </is>
      </c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Louny</t>
        </is>
      </c>
      <c r="D13" s="3" t="n">
        <v>20</v>
      </c>
      <c r="E13" s="3" t="n">
        <v>17</v>
      </c>
      <c r="F13" s="3" t="n"/>
      <c r="G13" s="3" t="n">
        <v>24</v>
      </c>
      <c r="H13" s="3" t="inlineStr">
        <is>
          <t>16.-17.2., 20.2.</t>
        </is>
      </c>
      <c r="I13" s="3" t="n"/>
      <c r="J13" s="3" t="n"/>
      <c r="K13" s="4" t="n">
        <v>25000</v>
      </c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Ústí</t>
        </is>
      </c>
      <c r="D14" s="3" t="n">
        <v>20</v>
      </c>
      <c r="E14" s="3" t="n">
        <v>15</v>
      </c>
      <c r="F14" s="3" t="n"/>
      <c r="G14" s="3" t="n"/>
      <c r="H14" s="3" t="n"/>
      <c r="I14" s="3" t="n">
        <v>40</v>
      </c>
      <c r="J14" s="3" t="inlineStr">
        <is>
          <t>OČR: 2.-10.2.; od 9.2. v práci</t>
        </is>
      </c>
      <c r="K14" s="4" t="n"/>
      <c r="L14" s="4" t="n"/>
      <c r="M14" s="4" t="n">
        <v>11990</v>
      </c>
      <c r="N14" s="4" t="n"/>
      <c r="O14" s="4" t="n">
        <v>100</v>
      </c>
      <c r="P14" s="4" t="n">
        <v>375</v>
      </c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Ústí</t>
        </is>
      </c>
      <c r="D15" s="3" t="n">
        <v>20</v>
      </c>
      <c r="E15" s="3" t="n">
        <v>19</v>
      </c>
      <c r="F15" s="3" t="n"/>
      <c r="G15" s="3" t="n">
        <v>8</v>
      </c>
      <c r="H15" s="3" t="inlineStr">
        <is>
          <t>20.2.</t>
        </is>
      </c>
      <c r="I15" s="3" t="n"/>
      <c r="J15" s="3" t="n"/>
      <c r="K15" s="4" t="n">
        <v>25000</v>
      </c>
      <c r="L15" s="4" t="n"/>
      <c r="M15" s="4" t="n">
        <v>11990</v>
      </c>
      <c r="N15" s="4" t="n"/>
      <c r="O15" s="4" t="n">
        <v>50</v>
      </c>
      <c r="P15" s="4" t="n"/>
      <c r="Q15" s="4" t="n"/>
      <c r="R15" s="4" t="n">
        <v>2460</v>
      </c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Ústí</t>
        </is>
      </c>
      <c r="D16" s="3" t="n">
        <v>20</v>
      </c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>
        <v>200</v>
      </c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Louny</t>
        </is>
      </c>
      <c r="D17" s="3" t="n">
        <v>20</v>
      </c>
      <c r="E17" s="3" t="n">
        <v>18</v>
      </c>
      <c r="F17" s="3" t="n"/>
      <c r="G17" s="3" t="n">
        <v>16</v>
      </c>
      <c r="H17" s="3" t="inlineStr">
        <is>
          <t>26.-27.2.</t>
        </is>
      </c>
      <c r="I17" s="3" t="n"/>
      <c r="J17" s="3" t="n"/>
      <c r="K17" s="4" t="n">
        <v>30000</v>
      </c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Ústí</t>
        </is>
      </c>
      <c r="D18" s="3" t="n">
        <v>20</v>
      </c>
      <c r="E18" s="3" t="n">
        <v>12</v>
      </c>
      <c r="F18" s="3" t="n"/>
      <c r="G18" s="3" t="n">
        <v>64</v>
      </c>
      <c r="H18" s="3" t="inlineStr">
        <is>
          <t>5.-16.2.</t>
        </is>
      </c>
      <c r="I18" s="3" t="n"/>
      <c r="J18" s="3" t="n"/>
      <c r="K18" s="4" t="n">
        <v>24100</v>
      </c>
      <c r="L18" s="4" t="n"/>
      <c r="M18" s="4" t="n">
        <v>11990</v>
      </c>
      <c r="N18" s="4" t="n"/>
      <c r="O18" s="4" t="n">
        <v>100</v>
      </c>
      <c r="P18" s="4" t="n">
        <v>375</v>
      </c>
      <c r="Q18" s="4" t="n"/>
      <c r="R18" s="4" t="n">
        <v>1155</v>
      </c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Ústí</t>
        </is>
      </c>
      <c r="D19" s="3" t="n">
        <v>20</v>
      </c>
      <c r="E19" s="3" t="n">
        <v>18</v>
      </c>
      <c r="F19" s="3" t="n"/>
      <c r="G19" s="3" t="n">
        <v>16</v>
      </c>
      <c r="H19" s="3" t="inlineStr">
        <is>
          <t>2.-3.2.</t>
        </is>
      </c>
      <c r="I19" s="3" t="n"/>
      <c r="J19" s="3" t="n"/>
      <c r="K19" s="4" t="n">
        <v>35000</v>
      </c>
      <c r="L19" s="4" t="n"/>
      <c r="M19" s="4" t="n">
        <v>11990</v>
      </c>
      <c r="N19" s="4" t="n"/>
      <c r="O19" s="4" t="n">
        <v>100</v>
      </c>
      <c r="P19" s="4" t="n">
        <v>375</v>
      </c>
      <c r="Q19" s="4" t="n">
        <v>485</v>
      </c>
      <c r="R19" s="4" t="n">
        <v>2635</v>
      </c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Ústí</t>
        </is>
      </c>
      <c r="D20" s="3" t="n">
        <v>20</v>
      </c>
      <c r="E20" s="3" t="n">
        <v>18</v>
      </c>
      <c r="F20" s="3" t="n"/>
      <c r="G20" s="3" t="n">
        <v>16</v>
      </c>
      <c r="H20" s="3" t="inlineStr">
        <is>
          <t>9.-10.2.</t>
        </is>
      </c>
      <c r="I20" s="3" t="n"/>
      <c r="J20" s="3" t="n"/>
      <c r="K20" s="4" t="n">
        <v>24100</v>
      </c>
      <c r="L20" s="4" t="n">
        <v>8000</v>
      </c>
      <c r="M20" s="4" t="n">
        <v>11990</v>
      </c>
      <c r="N20" s="4" t="n"/>
      <c r="O20" s="4" t="n">
        <v>50</v>
      </c>
      <c r="P20" s="4" t="n"/>
      <c r="Q20" s="4" t="n"/>
      <c r="R20" s="4" t="n">
        <v>1018</v>
      </c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Ústí</t>
        </is>
      </c>
      <c r="D21" s="3" t="n">
        <v>20</v>
      </c>
      <c r="E21" s="3" t="n">
        <v>20</v>
      </c>
      <c r="F21" s="3" t="n"/>
      <c r="G21" s="3" t="n"/>
      <c r="H21" s="3" t="n"/>
      <c r="I21" s="3" t="n"/>
      <c r="J21" s="3" t="n"/>
      <c r="K21" s="4" t="n">
        <v>28000</v>
      </c>
      <c r="L21" s="4" t="n"/>
      <c r="M21" s="4" t="n">
        <v>11990</v>
      </c>
      <c r="N21" s="4" t="n"/>
      <c r="O21" s="4" t="n">
        <v>100</v>
      </c>
      <c r="P21" s="4" t="n"/>
      <c r="Q21" s="4" t="n">
        <v>485</v>
      </c>
      <c r="R21" s="4" t="n">
        <v>784</v>
      </c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Louny</t>
        </is>
      </c>
      <c r="D22" s="3" t="n">
        <v>20</v>
      </c>
      <c r="E22" s="3" t="n">
        <v>18</v>
      </c>
      <c r="F22" s="3" t="n"/>
      <c r="G22" s="3" t="n">
        <v>16</v>
      </c>
      <c r="H22" s="3" t="inlineStr">
        <is>
          <t>5.-6.2.</t>
        </is>
      </c>
      <c r="I22" s="3" t="n"/>
      <c r="J22" s="3" t="n"/>
      <c r="K22" s="4" t="n">
        <v>100000</v>
      </c>
      <c r="L22" s="4" t="n">
        <v>140000</v>
      </c>
      <c r="M22" s="4" t="n">
        <v>11990</v>
      </c>
      <c r="N22" s="4" t="n"/>
      <c r="O22" s="4" t="n"/>
      <c r="P22" s="4" t="n"/>
      <c r="Q22" s="4" t="n"/>
      <c r="R22" s="4" t="n"/>
      <c r="S22" s="3" t="n"/>
      <c r="T22" s="18" t="inlineStr">
        <is>
          <t>Bere si hypotéku</t>
        </is>
      </c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Ústí</t>
        </is>
      </c>
      <c r="D23" s="3" t="n">
        <v>20</v>
      </c>
      <c r="E23" s="3" t="n">
        <v>0</v>
      </c>
      <c r="F23" s="3" t="n"/>
      <c r="G23" s="3" t="n"/>
      <c r="H23" s="3" t="n"/>
      <c r="I23" s="3" t="n">
        <v>160</v>
      </c>
      <c r="J23" s="3" t="inlineStr">
        <is>
          <t>1.-28.2.</t>
        </is>
      </c>
      <c r="K23" s="4" t="n">
        <v>28000</v>
      </c>
      <c r="L23" s="4" t="n"/>
      <c r="M23" s="4" t="n">
        <v>11990</v>
      </c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>
        <v>20</v>
      </c>
      <c r="E25" s="3" t="n">
        <v>12</v>
      </c>
      <c r="F25" s="3" t="n"/>
      <c r="G25" s="3" t="n">
        <v>64</v>
      </c>
      <c r="H25" s="3" t="inlineStr">
        <is>
          <t>5.-16.2.</t>
        </is>
      </c>
      <c r="I25" s="3" t="n"/>
      <c r="J25" s="3" t="n"/>
      <c r="K25" s="4" t="n">
        <v>30000</v>
      </c>
      <c r="L25" s="4" t="n">
        <v>10000</v>
      </c>
      <c r="M25" s="4" t="n">
        <v>11990</v>
      </c>
      <c r="N25" s="4" t="n"/>
      <c r="O25" s="4" t="n">
        <v>100</v>
      </c>
      <c r="P25" s="4" t="n"/>
      <c r="Q25" s="4" t="n"/>
      <c r="R25" s="4" t="n">
        <v>543</v>
      </c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>
        <v>20</v>
      </c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>
        <v>485</v>
      </c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>
        <v>22000</v>
      </c>
      <c r="L27" s="4" t="n"/>
      <c r="M27" s="4" t="n">
        <v>11990</v>
      </c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Louny</t>
        </is>
      </c>
      <c r="D28" s="3" t="n">
        <v>20</v>
      </c>
      <c r="E28" s="3" t="n">
        <v>20</v>
      </c>
      <c r="F28" s="3" t="n">
        <v>15</v>
      </c>
      <c r="G28" s="3" t="n"/>
      <c r="H28" s="3" t="n"/>
      <c r="I28" s="3" t="n"/>
      <c r="J28" s="3" t="n"/>
      <c r="K28" s="4" t="n">
        <v>22000</v>
      </c>
      <c r="L28" s="4" t="n"/>
      <c r="M28" s="4" t="n">
        <v>11990</v>
      </c>
      <c r="N28" s="4" t="n"/>
      <c r="O28" s="4" t="n"/>
      <c r="P28" s="4" t="n"/>
      <c r="Q28" s="4" t="n"/>
      <c r="R28" s="4" t="n">
        <v>200</v>
      </c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Louny</t>
        </is>
      </c>
      <c r="D29" s="3" t="n">
        <v>20</v>
      </c>
      <c r="E29" s="3" t="n"/>
      <c r="F29" s="3" t="n"/>
      <c r="G29" s="3" t="n"/>
      <c r="H29" s="3" t="n"/>
      <c r="I29" s="3" t="n"/>
      <c r="J29" s="3" t="n"/>
      <c r="K29" s="4" t="n"/>
      <c r="L29" s="4" t="n"/>
      <c r="M29" s="4" t="n">
        <v>11990</v>
      </c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>
        <v>20</v>
      </c>
      <c r="E30" s="3" t="inlineStr">
        <is>
          <t>MD</t>
        </is>
      </c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Ústí</t>
        </is>
      </c>
      <c r="D31" s="3" t="n">
        <v>20</v>
      </c>
      <c r="E31" s="3" t="n">
        <v>20</v>
      </c>
      <c r="F31" s="3" t="n"/>
      <c r="G31" s="3" t="n"/>
      <c r="H31" s="3" t="n"/>
      <c r="I31" s="3" t="n"/>
      <c r="J31" s="3" t="n"/>
      <c r="K31" s="4" t="n">
        <v>30000</v>
      </c>
      <c r="L31" s="4" t="n"/>
      <c r="M31" s="4" t="n">
        <v>11990</v>
      </c>
      <c r="N31" s="4" t="n"/>
      <c r="O31" s="4" t="n">
        <v>100</v>
      </c>
      <c r="P31" s="4" t="n">
        <v>375</v>
      </c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>
        <v>20</v>
      </c>
      <c r="E32" s="3" t="n">
        <v>20</v>
      </c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>
        <v>100</v>
      </c>
      <c r="P32" s="4" t="n"/>
      <c r="Q32" s="4" t="n"/>
      <c r="R32" s="4" t="n">
        <v>1018</v>
      </c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Ústí</t>
        </is>
      </c>
      <c r="D33" s="3" t="n">
        <v>20</v>
      </c>
      <c r="E33" s="3" t="inlineStr">
        <is>
          <t>MD</t>
        </is>
      </c>
      <c r="F33" s="3" t="n"/>
      <c r="G33" s="3" t="n"/>
      <c r="H33" s="3" t="n"/>
      <c r="I33" s="3" t="n"/>
      <c r="J33" s="3" t="n"/>
      <c r="K33" s="4" t="n"/>
      <c r="L33" s="4" t="n"/>
      <c r="M33" s="4" t="n">
        <v>11990</v>
      </c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Ústí</t>
        </is>
      </c>
      <c r="D34" s="3" t="n">
        <v>20</v>
      </c>
      <c r="E34" s="3" t="n"/>
      <c r="F34" s="3" t="n"/>
      <c r="G34" s="3" t="n"/>
      <c r="H34" s="3" t="n"/>
      <c r="I34" s="3" t="n"/>
      <c r="J34" s="3" t="n"/>
      <c r="K34" s="4" t="n">
        <v>30000</v>
      </c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>
        <v>20</v>
      </c>
      <c r="E35" s="3" t="n">
        <v>20</v>
      </c>
      <c r="F35" s="3" t="n"/>
      <c r="G35" s="3" t="n"/>
      <c r="H35" s="3" t="n"/>
      <c r="I35" s="3" t="n"/>
      <c r="J35" s="3" t="n"/>
      <c r="K35" s="4" t="n">
        <v>25000</v>
      </c>
      <c r="L35" s="4" t="n"/>
      <c r="M35" s="4" t="n">
        <v>7500</v>
      </c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Louny</t>
        </is>
      </c>
      <c r="D36" s="3" t="n">
        <v>20</v>
      </c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Louny</t>
        </is>
      </c>
      <c r="D37" s="3" t="n">
        <v>20</v>
      </c>
      <c r="E37" s="3" t="n"/>
      <c r="F37" s="3" t="n">
        <v>29</v>
      </c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>
        <v>200</v>
      </c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>
        <v>11990</v>
      </c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>
        <v>20</v>
      </c>
      <c r="E39" s="3" t="n"/>
      <c r="F39" s="3" t="n"/>
      <c r="G39" s="3" t="n"/>
      <c r="H39" s="3" t="n"/>
      <c r="I39" s="3" t="n"/>
      <c r="J39" s="3" t="n"/>
      <c r="K39" s="4" t="n"/>
      <c r="L39" s="4" t="n"/>
      <c r="M39" s="4" t="n">
        <v>7000</v>
      </c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Louny</t>
        </is>
      </c>
      <c r="D40" s="3" t="n">
        <v>20</v>
      </c>
      <c r="E40" s="3" t="n">
        <v>18</v>
      </c>
      <c r="F40" s="3" t="n"/>
      <c r="G40" s="3" t="n">
        <v>16</v>
      </c>
      <c r="H40" s="3" t="inlineStr">
        <is>
          <t>16.-17.2.</t>
        </is>
      </c>
      <c r="I40" s="3" t="n"/>
      <c r="J40" s="3" t="n"/>
      <c r="K40" s="4" t="n">
        <v>30000</v>
      </c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Louny</t>
        </is>
      </c>
      <c r="D41" s="3" t="n">
        <v>20</v>
      </c>
      <c r="E41" s="3" t="n"/>
      <c r="F41" s="3" t="n"/>
      <c r="G41" s="3" t="n"/>
      <c r="H41" s="3" t="n"/>
      <c r="I41" s="3" t="n"/>
      <c r="J41" s="3" t="n"/>
      <c r="K41" s="4" t="n">
        <v>21000</v>
      </c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Ústí</t>
        </is>
      </c>
      <c r="D42" s="3" t="n">
        <v>20</v>
      </c>
      <c r="E42" s="3" t="n">
        <v>20</v>
      </c>
      <c r="F42" s="3" t="n"/>
      <c r="G42" s="3" t="n"/>
      <c r="H42" s="3" t="n"/>
      <c r="I42" s="3" t="n"/>
      <c r="J42" s="3" t="n"/>
      <c r="K42" s="4" t="n">
        <v>28000</v>
      </c>
      <c r="L42" s="4" t="n"/>
      <c r="M42" s="4" t="n">
        <v>11990</v>
      </c>
      <c r="N42" s="4" t="n"/>
      <c r="O42" s="4" t="n">
        <v>100</v>
      </c>
      <c r="P42" s="4" t="n"/>
      <c r="Q42" s="4" t="n">
        <v>485</v>
      </c>
      <c r="R42" s="4" t="n">
        <v>2158</v>
      </c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>
        <v>11990</v>
      </c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inlineStr">
        <is>
          <t>ANO</t>
        </is>
      </c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>
        <v>20</v>
      </c>
      <c r="E45" s="3" t="n"/>
      <c r="F45" s="3" t="n"/>
      <c r="G45" s="3" t="n"/>
      <c r="H45" s="3" t="n"/>
      <c r="I45" s="3" t="n"/>
      <c r="J45" s="3" t="n"/>
      <c r="K45" s="4" t="n">
        <v>21000</v>
      </c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Louny</t>
        </is>
      </c>
      <c r="D46" s="3" t="n">
        <v>20</v>
      </c>
      <c r="E46" s="3" t="n">
        <v>20</v>
      </c>
      <c r="F46" s="3" t="n">
        <v>10</v>
      </c>
      <c r="G46" s="3" t="n"/>
      <c r="H46" s="3" t="n"/>
      <c r="I46" s="3" t="n"/>
      <c r="J46" s="3" t="n"/>
      <c r="K46" s="4" t="n">
        <v>25000</v>
      </c>
      <c r="L46" s="4" t="n">
        <v>5500</v>
      </c>
      <c r="M46" s="4" t="n">
        <v>11990</v>
      </c>
      <c r="N46" s="4" t="n"/>
      <c r="O46" s="4" t="n"/>
      <c r="P46" s="4" t="n"/>
      <c r="Q46" s="4" t="n"/>
      <c r="R46" s="4" t="n">
        <v>200</v>
      </c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Louny</t>
        </is>
      </c>
      <c r="D47" s="3" t="n">
        <v>20</v>
      </c>
      <c r="E47" s="3" t="n">
        <v>20</v>
      </c>
      <c r="F47" s="3" t="n"/>
      <c r="G47" s="3" t="n"/>
      <c r="H47" s="3" t="n"/>
      <c r="I47" s="3" t="n"/>
      <c r="J47" s="3" t="n"/>
      <c r="K47" s="4" t="n">
        <v>35000</v>
      </c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Louny</t>
        </is>
      </c>
      <c r="D48" s="3" t="n">
        <v>20</v>
      </c>
      <c r="E48" s="3" t="n">
        <v>20</v>
      </c>
      <c r="F48" s="3" t="n"/>
      <c r="G48" s="3" t="n"/>
      <c r="H48" s="3" t="n"/>
      <c r="I48" s="3" t="n"/>
      <c r="J48" s="3" t="n"/>
      <c r="K48" s="4" t="n">
        <v>25000</v>
      </c>
      <c r="L48" s="4" t="n">
        <v>10000</v>
      </c>
      <c r="M48" s="4" t="n">
        <v>6000</v>
      </c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Ústí</t>
        </is>
      </c>
      <c r="D49" s="3" t="n">
        <v>20</v>
      </c>
      <c r="E49" s="3" t="n">
        <v>8</v>
      </c>
      <c r="F49" s="3" t="n"/>
      <c r="G49" s="3" t="n"/>
      <c r="H49" s="3" t="n"/>
      <c r="I49" s="3" t="n">
        <v>96</v>
      </c>
      <c r="J49" s="3" t="inlineStr">
        <is>
          <t>2.-17.2.; 16.-17. již byla v práci, ale PN pokračovala</t>
        </is>
      </c>
      <c r="K49" s="4" t="n">
        <v>35000</v>
      </c>
      <c r="L49" s="4" t="n"/>
      <c r="M49" s="4" t="n">
        <v>11990</v>
      </c>
      <c r="N49" s="4" t="n"/>
      <c r="O49" s="4" t="n">
        <v>100</v>
      </c>
      <c r="P49" s="4" t="n">
        <v>500</v>
      </c>
      <c r="Q49" s="4" t="n">
        <v>485</v>
      </c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>
        <v>20</v>
      </c>
      <c r="E50" s="3" t="n"/>
      <c r="F50" s="3" t="n"/>
      <c r="G50" s="3" t="n"/>
      <c r="H50" s="3" t="n"/>
      <c r="I50" s="3" t="n"/>
      <c r="J50" s="3" t="n"/>
      <c r="K50" s="4" t="n"/>
      <c r="L50" s="4" t="n"/>
      <c r="M50" s="4" t="n">
        <v>11990</v>
      </c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Ústí</t>
        </is>
      </c>
      <c r="D51" s="3" t="n">
        <v>20</v>
      </c>
      <c r="E51" s="3" t="inlineStr">
        <is>
          <t>MD</t>
        </is>
      </c>
      <c r="F51" s="3" t="n"/>
      <c r="G51" s="3" t="n"/>
      <c r="H51" s="3" t="n"/>
      <c r="I51" s="3" t="n"/>
      <c r="J51" s="3" t="n"/>
      <c r="K51" s="4" t="n"/>
      <c r="L51" s="4" t="n"/>
      <c r="M51" s="4" t="n">
        <v>11990</v>
      </c>
      <c r="N51" s="4" t="n"/>
      <c r="O51" s="4" t="n"/>
      <c r="P51" s="4" t="n"/>
      <c r="Q51" s="4" t="n"/>
      <c r="R51" s="4" t="n"/>
      <c r="S51" s="3" t="inlineStr">
        <is>
          <t>ANO</t>
        </is>
      </c>
      <c r="T51" s="3" t="inlineStr">
        <is>
          <t>MD</t>
        </is>
      </c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>
        <v>11990</v>
      </c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Ústí</t>
        </is>
      </c>
      <c r="D53" s="3" t="n">
        <v>20</v>
      </c>
      <c r="E53" s="3" t="n">
        <v>20</v>
      </c>
      <c r="F53" s="3" t="n"/>
      <c r="G53" s="3" t="n"/>
      <c r="H53" s="3" t="n"/>
      <c r="I53" s="3" t="n"/>
      <c r="J53" s="3" t="n"/>
      <c r="K53" s="4" t="n">
        <v>35000</v>
      </c>
      <c r="L53" s="4" t="n"/>
      <c r="M53" s="4" t="n">
        <v>11990</v>
      </c>
      <c r="N53" s="4" t="n"/>
      <c r="O53" s="4" t="n">
        <v>100</v>
      </c>
      <c r="P53" s="4" t="n">
        <v>500</v>
      </c>
      <c r="Q53" s="4" t="n">
        <v>485</v>
      </c>
      <c r="R53" s="4" t="n">
        <v>4110</v>
      </c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Ústí</t>
        </is>
      </c>
      <c r="D54" s="3" t="n">
        <v>20</v>
      </c>
      <c r="E54" s="3" t="n">
        <v>19</v>
      </c>
      <c r="F54" s="3" t="n"/>
      <c r="G54" s="3" t="n">
        <v>8</v>
      </c>
      <c r="H54" s="3" t="inlineStr">
        <is>
          <t>27.2.</t>
        </is>
      </c>
      <c r="I54" s="3" t="n"/>
      <c r="J54" s="3" t="n"/>
      <c r="K54" s="4" t="n">
        <v>35000</v>
      </c>
      <c r="L54" s="4" t="n"/>
      <c r="M54" s="4" t="n">
        <v>11990</v>
      </c>
      <c r="N54" s="4" t="n"/>
      <c r="O54" s="4" t="n">
        <v>50</v>
      </c>
      <c r="P54" s="4" t="n"/>
      <c r="Q54" s="4" t="n">
        <v>485</v>
      </c>
      <c r="R54" s="4" t="n">
        <v>3085</v>
      </c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>
        <v>20</v>
      </c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inlineStr">
        <is>
          <t>ANO</t>
        </is>
      </c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>
        <v>40000</v>
      </c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inlineStr">
        <is>
          <t>ANO</t>
        </is>
      </c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inlineStr">
        <is>
          <t>ANO</t>
        </is>
      </c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inlineStr">
        <is>
          <t>ANO</t>
        </is>
      </c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inlineStr">
        <is>
          <t>ANO</t>
        </is>
      </c>
      <c r="T60" s="5" t="n"/>
    </row>
    <row r="61" s="20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>
        <v>11990</v>
      </c>
      <c r="N61" s="4" t="n"/>
      <c r="O61" s="4" t="n"/>
      <c r="P61" s="4" t="n"/>
      <c r="Q61" s="4" t="n"/>
      <c r="R61" s="4" t="n">
        <v>200</v>
      </c>
      <c r="S61" s="3" t="n"/>
      <c r="T61" s="3" t="n"/>
    </row>
    <row r="62" s="20">
      <c r="A62" s="3" t="inlineStr">
        <is>
          <t>Ibragimov Firdavs</t>
        </is>
      </c>
      <c r="B62" s="3" t="n"/>
      <c r="C62" s="3" t="inlineStr">
        <is>
          <t>Ústí</t>
        </is>
      </c>
      <c r="D62" s="3" t="n">
        <v>20</v>
      </c>
      <c r="E62" s="3" t="n">
        <v>19</v>
      </c>
      <c r="F62" s="3" t="n"/>
      <c r="G62" s="3" t="n">
        <v>8</v>
      </c>
      <c r="H62" s="3" t="inlineStr">
        <is>
          <t>9.2.</t>
        </is>
      </c>
      <c r="I62" s="3" t="n"/>
      <c r="J62" s="3" t="n"/>
      <c r="K62" s="4" t="n"/>
      <c r="L62" s="4" t="n"/>
      <c r="M62" s="4" t="n"/>
      <c r="N62" s="4" t="n"/>
      <c r="O62" s="4" t="n">
        <v>100</v>
      </c>
      <c r="P62" s="4" t="n"/>
      <c r="Q62" s="4" t="n"/>
      <c r="R62" s="4" t="n">
        <v>2990</v>
      </c>
      <c r="S62" s="3" t="n"/>
      <c r="T62" s="3" t="n"/>
    </row>
    <row r="63" s="20">
      <c r="A63" s="3" t="inlineStr">
        <is>
          <t>Šafaříková Martina</t>
        </is>
      </c>
      <c r="B63" s="3" t="inlineStr">
        <is>
          <t>EXT</t>
        </is>
      </c>
      <c r="C63" s="3" t="inlineStr">
        <is>
          <t>VZC</t>
        </is>
      </c>
      <c r="D63" s="3" t="n">
        <v>20</v>
      </c>
      <c r="E63" s="3" t="n"/>
      <c r="F63" s="3" t="n"/>
      <c r="G63" s="3" t="n"/>
      <c r="H63" s="3" t="n"/>
      <c r="I63" s="3" t="n"/>
      <c r="J63" s="3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n"/>
      <c r="T63" s="3" t="n"/>
    </row>
    <row r="64" s="20">
      <c r="A64" s="3" t="inlineStr">
        <is>
          <t>Švedová Marie</t>
        </is>
      </c>
      <c r="B64" s="3" t="inlineStr">
        <is>
          <t>EXT</t>
        </is>
      </c>
      <c r="C64" s="3" t="inlineStr">
        <is>
          <t>VZC</t>
        </is>
      </c>
      <c r="D64" s="3" t="n">
        <v>20</v>
      </c>
      <c r="E64" s="3" t="n">
        <v>16</v>
      </c>
      <c r="F64" s="3" t="n"/>
      <c r="G64" s="3" t="n"/>
      <c r="H64" s="3" t="n"/>
      <c r="I64" s="3" t="n"/>
      <c r="J64" s="3" t="n"/>
      <c r="K64" s="4" t="n"/>
      <c r="L64" s="4" t="n"/>
      <c r="M64" s="4" t="n"/>
      <c r="N64" s="4" t="n"/>
      <c r="O64" s="4" t="n">
        <v>100</v>
      </c>
      <c r="P64" s="4" t="n"/>
      <c r="Q64" s="4" t="n"/>
      <c r="R64" s="4" t="n">
        <v>920</v>
      </c>
      <c r="S64" s="3" t="n"/>
      <c r="T64" s="3" t="n"/>
    </row>
    <row r="65">
      <c r="A65" s="3" t="inlineStr">
        <is>
          <t>Tůma Tina</t>
        </is>
      </c>
      <c r="B65" s="3" t="inlineStr">
        <is>
          <t>Sestra</t>
        </is>
      </c>
      <c r="C65" s="3" t="inlineStr">
        <is>
          <t>VZC</t>
        </is>
      </c>
      <c r="D65" s="3" t="n">
        <v>19</v>
      </c>
      <c r="E65" s="3" t="n">
        <v>19</v>
      </c>
      <c r="F65" s="3" t="n"/>
      <c r="G65" s="3" t="n"/>
      <c r="H65" s="3" t="n"/>
      <c r="I65" s="3" t="n"/>
      <c r="J65" s="3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n"/>
      <c r="T65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3" topLeftCell="A24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Louny s.r.o.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>
        <v>11990</v>
      </c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/>
      <c r="L18" s="4" t="n"/>
      <c r="M18" s="4" t="n"/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/>
      <c r="L28" s="4" t="n"/>
      <c r="M28" s="4" t="n">
        <v>11990</v>
      </c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  <c r="L42" s="4" t="n"/>
      <c r="M42" s="4" t="n"/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/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tabSelected="1" workbookViewId="0">
      <pane ySplit="3" topLeftCell="A25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Ústí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/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/>
      <c r="L18" s="4" t="n"/>
      <c r="M18" s="4" t="n">
        <v>11990</v>
      </c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/>
      <c r="L28" s="4" t="n"/>
      <c r="M28" s="4" t="n"/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  <c r="L42" s="4" t="n"/>
      <c r="M42" s="4" t="n">
        <v>6000</v>
      </c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/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26" sqref="C26"/>
    </sheetView>
  </sheetViews>
  <sheetFormatPr baseColWidth="8" defaultRowHeight="15"/>
  <cols>
    <col width="15" customWidth="1" style="20" min="1" max="1"/>
    <col width="40" customWidth="1" style="20" min="2" max="2"/>
    <col width="50" customWidth="1" style="20" min="3" max="3"/>
    <col width="35" customWidth="1" style="20" min="4" max="4"/>
  </cols>
  <sheetData>
    <row r="1" ht="18.75" customHeight="1" s="20">
      <c r="A1" s="21" t="inlineStr">
        <is>
          <t>VARIABILNÍ SLOŽKY - TYPY A NASTAVENÍ</t>
        </is>
      </c>
    </row>
    <row r="4">
      <c r="A4" s="8" t="inlineStr">
        <is>
          <t>TYP</t>
        </is>
      </c>
      <c r="B4" s="8" t="inlineStr">
        <is>
          <t>POPIS</t>
        </is>
      </c>
      <c r="C4" s="8" t="inlineStr">
        <is>
          <t>PŘÍKLAD VÝPOČTU</t>
        </is>
      </c>
      <c r="D4" s="8" t="inlineStr">
        <is>
          <t>KDE NASTAVIT</t>
        </is>
      </c>
    </row>
    <row r="5">
      <c r="A5" t="inlineStr">
        <is>
          <t>Z OBRATU</t>
        </is>
      </c>
      <c r="B5" t="inlineStr">
        <is>
          <t>% z hrubého obratu nad stanovený práh</t>
        </is>
      </c>
      <c r="C5" t="inlineStr">
        <is>
          <t>Obrat 150 000, Práh 110 000, Sazba 25% → (150000-110000) × 0.25 = 10 000 Kč</t>
        </is>
      </c>
      <c r="D5" t="inlineStr">
        <is>
          <t>Sloupec Práh/Sazba: "110000/25%"</t>
        </is>
      </c>
    </row>
    <row r="6">
      <c r="A6" t="inlineStr">
        <is>
          <t>PROVIZE</t>
        </is>
      </c>
      <c r="B6" t="inlineStr">
        <is>
          <t>% z konkrétního výkonu/prodeje</t>
        </is>
      </c>
      <c r="C6" t="inlineStr">
        <is>
          <t>Tržby 50 000 × 10% = 5 000 Kč</t>
        </is>
      </c>
      <c r="D6" t="inlineStr">
        <is>
          <t>Sloupec Práh/Sazba: "10%"</t>
        </is>
      </c>
    </row>
    <row r="7">
      <c r="A7" t="inlineStr">
        <is>
          <t>BONUS</t>
        </is>
      </c>
      <c r="B7" t="inlineStr">
        <is>
          <t>Jednorázová částka za splnění cíle</t>
        </is>
      </c>
      <c r="C7" t="inlineStr">
        <is>
          <t>Splněn kvartální cíl = 15 000 Kč</t>
        </is>
      </c>
      <c r="D7" t="inlineStr">
        <is>
          <t>Sloupec Var.popis: popis cíle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:J1"/>
    </sheetView>
  </sheetViews>
  <sheetFormatPr baseColWidth="8" defaultRowHeight="15"/>
  <cols>
    <col width="6" customWidth="1" style="20" min="1" max="1"/>
    <col width="22" customWidth="1" style="20" min="2" max="2"/>
    <col width="15" customWidth="1" style="20" min="3" max="3"/>
    <col width="12" customWidth="1" style="20" min="4" max="4"/>
    <col width="10" customWidth="1" style="20" min="5" max="5"/>
    <col width="12" customWidth="1" style="20" min="6" max="6"/>
    <col width="10" customWidth="1" style="20" min="7" max="9"/>
    <col width="20" customWidth="1" style="20" min="10" max="10"/>
  </cols>
  <sheetData>
    <row r="1" ht="18.75" customHeight="1" s="20">
      <c r="A1" s="21" t="inlineStr">
        <is>
          <t>DOCHÁZKA - EXPORT (ÚNOR 2026 | vše do matky VZC | BEZ CEO_ONLY, BEZ MEZD)</t>
        </is>
      </c>
    </row>
    <row r="2">
      <c r="A2" s="9" t="inlineStr">
        <is>
          <t>⚠️ Neobsahuje: rodinu Čáka, rodinu Vyšata, Polákovou, Vacha, osoby na MD</t>
        </is>
      </c>
    </row>
    <row r="4">
      <c r="A4" s="10" t="inlineStr">
        <is>
          <t>Spol.</t>
        </is>
      </c>
      <c r="B4" s="10" t="inlineStr">
        <is>
          <t>Jméno</t>
        </is>
      </c>
      <c r="C4" s="10" t="inlineStr">
        <is>
          <t>Pozice</t>
        </is>
      </c>
      <c r="D4" s="10" t="inlineStr">
        <is>
          <t>Pracoviště</t>
        </is>
      </c>
      <c r="E4" s="10" t="inlineStr">
        <is>
          <t>Prac.dnů</t>
        </is>
      </c>
      <c r="F4" s="10" t="inlineStr">
        <is>
          <t>Odpracováno</t>
        </is>
      </c>
      <c r="G4" s="10" t="inlineStr">
        <is>
          <t>Dovolená</t>
        </is>
      </c>
      <c r="H4" s="10" t="inlineStr">
        <is>
          <t>Nemoc</t>
        </is>
      </c>
      <c r="I4" s="10" t="inlineStr">
        <is>
          <t>Přesčasy</t>
        </is>
      </c>
      <c r="J4" s="10" t="inlineStr">
        <is>
          <t>Poznámky</t>
        </is>
      </c>
    </row>
    <row r="5">
      <c r="A5" s="3" t="inlineStr">
        <is>
          <t>VZC</t>
        </is>
      </c>
      <c r="B5" s="3" t="inlineStr">
        <is>
          <t>Baloghová Pavla</t>
        </is>
      </c>
      <c r="C5" s="3" t="inlineStr">
        <is>
          <t>DH</t>
        </is>
      </c>
      <c r="D5" s="3" t="inlineStr">
        <is>
          <t>Ústí</t>
        </is>
      </c>
      <c r="E5" s="3" t="n">
        <v>20</v>
      </c>
      <c r="F5" s="3" t="n">
        <v>18</v>
      </c>
      <c r="G5" s="3" t="n">
        <v>16</v>
      </c>
      <c r="H5" s="3" t="n"/>
      <c r="I5" s="3" t="n"/>
      <c r="J5" s="3" t="inlineStr">
        <is>
          <t>Dov: 24.-25.2.</t>
        </is>
      </c>
    </row>
    <row r="6">
      <c r="A6" s="3" t="inlineStr">
        <is>
          <t>VZC</t>
        </is>
      </c>
      <c r="B6" s="3" t="inlineStr">
        <is>
          <t>Bilynska Nataliya</t>
        </is>
      </c>
      <c r="C6" s="3" t="inlineStr">
        <is>
          <t>EXT</t>
        </is>
      </c>
      <c r="D6" s="3" t="inlineStr">
        <is>
          <t>VZC</t>
        </is>
      </c>
      <c r="E6" s="3" t="n"/>
      <c r="F6" s="3" t="n"/>
      <c r="G6" s="3" t="n"/>
      <c r="H6" s="3" t="n"/>
      <c r="I6" s="3" t="n"/>
      <c r="J6" s="3" t="n"/>
    </row>
    <row r="7">
      <c r="A7" s="3" t="inlineStr">
        <is>
          <t>VZC</t>
        </is>
      </c>
      <c r="B7" s="3" t="inlineStr">
        <is>
          <t>Buts Sergei</t>
        </is>
      </c>
      <c r="C7" s="3" t="n"/>
      <c r="D7" s="3" t="inlineStr">
        <is>
          <t>Ústí</t>
        </is>
      </c>
      <c r="E7" s="3" t="n">
        <v>20</v>
      </c>
      <c r="F7" s="3" t="n">
        <v>20</v>
      </c>
      <c r="G7" s="3" t="n"/>
      <c r="H7" s="3" t="n"/>
      <c r="I7" s="3" t="n"/>
      <c r="J7" s="3" t="n"/>
    </row>
    <row r="8">
      <c r="A8" s="3" t="inlineStr">
        <is>
          <t>VZC</t>
        </is>
      </c>
      <c r="B8" s="3" t="inlineStr">
        <is>
          <t>Čáková Miluše</t>
        </is>
      </c>
      <c r="C8" s="3" t="inlineStr">
        <is>
          <t>ADM</t>
        </is>
      </c>
      <c r="D8" s="3" t="inlineStr">
        <is>
          <t>VZC</t>
        </is>
      </c>
      <c r="E8" s="3" t="n">
        <v>20</v>
      </c>
      <c r="F8" s="3" t="n"/>
      <c r="G8" s="3" t="n"/>
      <c r="H8" s="3" t="n"/>
      <c r="I8" s="3" t="n"/>
      <c r="J8" s="3" t="n"/>
    </row>
    <row r="9">
      <c r="A9" s="3" t="inlineStr">
        <is>
          <t>VZC</t>
        </is>
      </c>
      <c r="B9" s="3" t="inlineStr">
        <is>
          <t>Čmudová Radka</t>
        </is>
      </c>
      <c r="C9" s="3" t="inlineStr">
        <is>
          <t>Sestra</t>
        </is>
      </c>
      <c r="D9" s="3" t="inlineStr">
        <is>
          <t>Louny</t>
        </is>
      </c>
      <c r="E9" s="3" t="n">
        <v>20</v>
      </c>
      <c r="F9" s="3" t="n">
        <v>17</v>
      </c>
      <c r="G9" s="3" t="n">
        <v>24</v>
      </c>
      <c r="H9" s="3" t="n"/>
      <c r="I9" s="3" t="n"/>
      <c r="J9" s="3" t="inlineStr">
        <is>
          <t>Dov: 16.-17.2., 20.2.</t>
        </is>
      </c>
    </row>
    <row r="10">
      <c r="A10" s="3" t="inlineStr">
        <is>
          <t>VZC</t>
        </is>
      </c>
      <c r="B10" s="3" t="inlineStr">
        <is>
          <t>Codreanu Nicolae</t>
        </is>
      </c>
      <c r="C10" s="3" t="inlineStr">
        <is>
          <t>Lékař</t>
        </is>
      </c>
      <c r="D10" s="3" t="inlineStr">
        <is>
          <t>Louny</t>
        </is>
      </c>
      <c r="E10" s="3" t="n">
        <v>20</v>
      </c>
      <c r="F10" s="3" t="n">
        <v>20</v>
      </c>
      <c r="G10" s="3" t="n"/>
      <c r="H10" s="3" t="n"/>
      <c r="I10" s="3" t="n"/>
      <c r="J10" s="3" t="n"/>
    </row>
    <row r="11">
      <c r="A11" s="3" t="inlineStr">
        <is>
          <t>VZC</t>
        </is>
      </c>
      <c r="B11" s="3" t="inlineStr">
        <is>
          <t>Davidová Lenka</t>
        </is>
      </c>
      <c r="C11" s="3" t="inlineStr">
        <is>
          <t>Sestra</t>
        </is>
      </c>
      <c r="D11" s="3" t="inlineStr">
        <is>
          <t>Ústí</t>
        </is>
      </c>
      <c r="E11" s="3" t="n">
        <v>20</v>
      </c>
      <c r="F11" s="3" t="n">
        <v>15</v>
      </c>
      <c r="G11" s="3" t="n"/>
      <c r="H11" s="3" t="n"/>
      <c r="I11" s="3" t="n"/>
      <c r="J11" s="3" t="inlineStr">
        <is>
          <t>OČR 40 h: 2.-10.2.; od 9.2. v práci</t>
        </is>
      </c>
    </row>
    <row r="12">
      <c r="A12" s="3" t="inlineStr">
        <is>
          <t>VZC</t>
        </is>
      </c>
      <c r="B12" s="3" t="inlineStr">
        <is>
          <t>Dávidová Zuzana</t>
        </is>
      </c>
      <c r="C12" s="3" t="inlineStr">
        <is>
          <t>Recepční</t>
        </is>
      </c>
      <c r="D12" s="3" t="inlineStr">
        <is>
          <t>Ústí</t>
        </is>
      </c>
      <c r="E12" s="3" t="n">
        <v>20</v>
      </c>
      <c r="F12" s="3" t="n">
        <v>19</v>
      </c>
      <c r="G12" s="3" t="n">
        <v>8</v>
      </c>
      <c r="H12" s="3" t="n"/>
      <c r="I12" s="3" t="n"/>
      <c r="J12" s="3" t="inlineStr">
        <is>
          <t>Dov: 20.2. | DOPLNIT ČÁSTKY</t>
        </is>
      </c>
    </row>
    <row r="13">
      <c r="A13" s="3" t="inlineStr">
        <is>
          <t>VZC</t>
        </is>
      </c>
      <c r="B13" s="3" t="inlineStr">
        <is>
          <t>Farkašová Lucie</t>
        </is>
      </c>
      <c r="C13" s="3" t="inlineStr">
        <is>
          <t>EXT</t>
        </is>
      </c>
      <c r="D13" s="3" t="inlineStr">
        <is>
          <t>Ústí</t>
        </is>
      </c>
      <c r="E13" s="3" t="n">
        <v>20</v>
      </c>
      <c r="F13" s="3" t="n"/>
      <c r="G13" s="3" t="n"/>
      <c r="H13" s="3" t="n"/>
      <c r="I13" s="3" t="n"/>
      <c r="J13" s="3" t="n"/>
    </row>
    <row r="14">
      <c r="A14" s="3" t="inlineStr">
        <is>
          <t>VZC</t>
        </is>
      </c>
      <c r="B14" s="3" t="inlineStr">
        <is>
          <t>Havlena Barbora</t>
        </is>
      </c>
      <c r="C14" s="3" t="inlineStr">
        <is>
          <t>DH</t>
        </is>
      </c>
      <c r="D14" s="3" t="inlineStr">
        <is>
          <t>Louny</t>
        </is>
      </c>
      <c r="E14" s="3" t="n">
        <v>20</v>
      </c>
      <c r="F14" s="3" t="n">
        <v>18</v>
      </c>
      <c r="G14" s="3" t="n">
        <v>16</v>
      </c>
      <c r="H14" s="3" t="n"/>
      <c r="I14" s="3" t="n"/>
      <c r="J14" s="3" t="inlineStr">
        <is>
          <t>Dov: 26.-27.2.</t>
        </is>
      </c>
    </row>
    <row r="15">
      <c r="A15" s="3" t="inlineStr">
        <is>
          <t>VZC</t>
        </is>
      </c>
      <c r="B15" s="3" t="inlineStr">
        <is>
          <t>Hlaváčková Lýdie</t>
        </is>
      </c>
      <c r="C15" s="3" t="inlineStr">
        <is>
          <t>Sestra</t>
        </is>
      </c>
      <c r="D15" s="3" t="inlineStr">
        <is>
          <t>Ústí</t>
        </is>
      </c>
      <c r="E15" s="3" t="n">
        <v>20</v>
      </c>
      <c r="F15" s="3" t="n">
        <v>12</v>
      </c>
      <c r="G15" s="3" t="n">
        <v>64</v>
      </c>
      <c r="H15" s="3" t="n"/>
      <c r="I15" s="3" t="n"/>
      <c r="J15" s="3" t="inlineStr">
        <is>
          <t>Dov: 5.-16.2.</t>
        </is>
      </c>
    </row>
    <row r="16">
      <c r="A16" s="3" t="inlineStr">
        <is>
          <t>VZC</t>
        </is>
      </c>
      <c r="B16" s="3" t="inlineStr">
        <is>
          <t>Ibragimov Firdavs</t>
        </is>
      </c>
      <c r="C16" s="3" t="n"/>
      <c r="D16" s="3" t="inlineStr">
        <is>
          <t>Ústí</t>
        </is>
      </c>
      <c r="E16" s="3" t="n">
        <v>20</v>
      </c>
      <c r="F16" s="3" t="n">
        <v>19</v>
      </c>
      <c r="G16" s="3" t="n">
        <v>8</v>
      </c>
      <c r="H16" s="3" t="n"/>
      <c r="I16" s="3" t="n"/>
      <c r="J16" s="3" t="inlineStr">
        <is>
          <t>Dov: 9.2.</t>
        </is>
      </c>
    </row>
    <row r="17">
      <c r="A17" s="3" t="inlineStr">
        <is>
          <t>VZC</t>
        </is>
      </c>
      <c r="B17" s="3" t="inlineStr">
        <is>
          <t>Ivanov Sergei</t>
        </is>
      </c>
      <c r="C17" s="3" t="inlineStr">
        <is>
          <t>Lékař</t>
        </is>
      </c>
      <c r="D17" s="3" t="inlineStr">
        <is>
          <t>Ústí</t>
        </is>
      </c>
      <c r="E17" s="3" t="n">
        <v>20</v>
      </c>
      <c r="F17" s="3" t="n">
        <v>18</v>
      </c>
      <c r="G17" s="3" t="n">
        <v>16</v>
      </c>
      <c r="H17" s="3" t="n"/>
      <c r="I17" s="3" t="n"/>
      <c r="J17" s="3" t="inlineStr">
        <is>
          <t>Dov: 2.-3.2.</t>
        </is>
      </c>
    </row>
    <row r="18">
      <c r="A18" s="3" t="inlineStr">
        <is>
          <t>VZC</t>
        </is>
      </c>
      <c r="B18" s="3" t="inlineStr">
        <is>
          <t>Jeřábková Lucie</t>
        </is>
      </c>
      <c r="C18" s="3" t="inlineStr">
        <is>
          <t>Sestra</t>
        </is>
      </c>
      <c r="D18" s="3" t="inlineStr">
        <is>
          <t>Ústí</t>
        </is>
      </c>
      <c r="E18" s="3" t="n">
        <v>20</v>
      </c>
      <c r="F18" s="3" t="n">
        <v>18</v>
      </c>
      <c r="G18" s="3" t="n">
        <v>16</v>
      </c>
      <c r="H18" s="3" t="n"/>
      <c r="I18" s="3" t="n"/>
      <c r="J18" s="3" t="inlineStr">
        <is>
          <t>Dov: 9.-10.2.</t>
        </is>
      </c>
    </row>
    <row r="19">
      <c r="A19" s="3" t="inlineStr">
        <is>
          <t>VZC</t>
        </is>
      </c>
      <c r="B19" s="3" t="inlineStr">
        <is>
          <t>Kačírková Jaroslava</t>
        </is>
      </c>
      <c r="C19" s="3" t="inlineStr">
        <is>
          <t>Sestra</t>
        </is>
      </c>
      <c r="D19" s="3" t="inlineStr">
        <is>
          <t>Ústí</t>
        </is>
      </c>
      <c r="E19" s="3" t="n">
        <v>20</v>
      </c>
      <c r="F19" s="3" t="n">
        <v>20</v>
      </c>
      <c r="G19" s="3" t="n"/>
      <c r="H19" s="3" t="n"/>
      <c r="I19" s="3" t="n"/>
      <c r="J19" s="3" t="n"/>
    </row>
    <row r="20">
      <c r="A20" s="3" t="inlineStr">
        <is>
          <t>VZC</t>
        </is>
      </c>
      <c r="B20" s="3" t="inlineStr">
        <is>
          <t>Komjáti Tamás</t>
        </is>
      </c>
      <c r="C20" s="3" t="inlineStr">
        <is>
          <t>Lékař</t>
        </is>
      </c>
      <c r="D20" s="3" t="inlineStr">
        <is>
          <t>Louny</t>
        </is>
      </c>
      <c r="E20" s="3" t="n">
        <v>20</v>
      </c>
      <c r="F20" s="3" t="n">
        <v>18</v>
      </c>
      <c r="G20" s="3" t="n">
        <v>16</v>
      </c>
      <c r="H20" s="3" t="n"/>
      <c r="I20" s="3" t="n"/>
      <c r="J20" s="3" t="inlineStr">
        <is>
          <t>Dov: 5.-6.2.</t>
        </is>
      </c>
    </row>
    <row r="21">
      <c r="A21" s="3" t="inlineStr">
        <is>
          <t>VZC</t>
        </is>
      </c>
      <c r="B21" s="3" t="inlineStr">
        <is>
          <t>Kramářová Tereza</t>
        </is>
      </c>
      <c r="C21" s="3" t="inlineStr">
        <is>
          <t>Sestra</t>
        </is>
      </c>
      <c r="D21" s="3" t="inlineStr">
        <is>
          <t>Ústí</t>
        </is>
      </c>
      <c r="E21" s="3" t="n">
        <v>20</v>
      </c>
      <c r="F21" s="3" t="n">
        <v>0</v>
      </c>
      <c r="G21" s="3" t="n"/>
      <c r="H21" s="3" t="n">
        <v>160</v>
      </c>
      <c r="I21" s="3" t="n"/>
      <c r="J21" s="3" t="inlineStr">
        <is>
          <t>Nem: 1.-28.2.</t>
        </is>
      </c>
    </row>
    <row r="22">
      <c r="A22" s="3" t="inlineStr">
        <is>
          <t>VZC</t>
        </is>
      </c>
      <c r="B22" s="3" t="inlineStr">
        <is>
          <t>Kuziv Michaela</t>
        </is>
      </c>
      <c r="C22" s="3" t="inlineStr">
        <is>
          <t>Provozní manažer</t>
        </is>
      </c>
      <c r="D22" s="3" t="inlineStr">
        <is>
          <t>VZC</t>
        </is>
      </c>
      <c r="E22" s="3" t="n">
        <v>20</v>
      </c>
      <c r="F22" s="3" t="n">
        <v>12</v>
      </c>
      <c r="G22" s="3" t="n">
        <v>64</v>
      </c>
      <c r="H22" s="3" t="n"/>
      <c r="I22" s="3" t="n"/>
      <c r="J22" s="3" t="inlineStr">
        <is>
          <t>Dov: 5.-16.2.</t>
        </is>
      </c>
    </row>
    <row r="23">
      <c r="A23" s="3" t="inlineStr">
        <is>
          <t>VZC</t>
        </is>
      </c>
      <c r="B23" s="3" t="inlineStr">
        <is>
          <t>Lazareva Lylia</t>
        </is>
      </c>
      <c r="C23" s="3" t="inlineStr">
        <is>
          <t>EXT</t>
        </is>
      </c>
      <c r="D23" s="3" t="inlineStr">
        <is>
          <t>VZC</t>
        </is>
      </c>
      <c r="E23" s="3" t="n">
        <v>20</v>
      </c>
      <c r="F23" s="3" t="n"/>
      <c r="G23" s="3" t="n"/>
      <c r="H23" s="3" t="n"/>
      <c r="I23" s="3" t="n"/>
      <c r="J23" s="3" t="n"/>
    </row>
    <row r="24">
      <c r="A24" s="3" t="inlineStr">
        <is>
          <t>VZC</t>
        </is>
      </c>
      <c r="B24" s="3" t="inlineStr">
        <is>
          <t>Linhartová Denisa</t>
        </is>
      </c>
      <c r="C24" s="3" t="inlineStr">
        <is>
          <t>Recepční</t>
        </is>
      </c>
      <c r="D24" s="3" t="inlineStr">
        <is>
          <t>Louny</t>
        </is>
      </c>
      <c r="E24" s="3" t="n">
        <v>20</v>
      </c>
      <c r="F24" s="3" t="n">
        <v>20</v>
      </c>
      <c r="G24" s="3" t="n"/>
      <c r="H24" s="3" t="n"/>
      <c r="I24" s="3" t="n">
        <v>15</v>
      </c>
      <c r="J24" s="3" t="n"/>
    </row>
    <row r="25">
      <c r="A25" s="3" t="inlineStr">
        <is>
          <t>VZC</t>
        </is>
      </c>
      <c r="B25" s="3" t="inlineStr">
        <is>
          <t>Linhartová Jiřina</t>
        </is>
      </c>
      <c r="C25" s="3" t="inlineStr">
        <is>
          <t>Recepční</t>
        </is>
      </c>
      <c r="D25" s="3" t="inlineStr">
        <is>
          <t>Louny</t>
        </is>
      </c>
      <c r="E25" s="3" t="n">
        <v>20</v>
      </c>
      <c r="F25" s="3" t="n"/>
      <c r="G25" s="3" t="n"/>
      <c r="H25" s="3" t="n"/>
      <c r="I25" s="3" t="n"/>
      <c r="J25" s="3" t="n"/>
    </row>
    <row r="26">
      <c r="A26" s="3" t="inlineStr">
        <is>
          <t>VZC</t>
        </is>
      </c>
      <c r="B26" s="3" t="inlineStr">
        <is>
          <t>Maekeová Kateřina</t>
        </is>
      </c>
      <c r="C26" s="3" t="inlineStr">
        <is>
          <t>DH</t>
        </is>
      </c>
      <c r="D26" s="3" t="inlineStr">
        <is>
          <t>Ústí</t>
        </is>
      </c>
      <c r="E26" s="3" t="n">
        <v>20</v>
      </c>
      <c r="F26" s="3" t="n">
        <v>20</v>
      </c>
      <c r="G26" s="3" t="n"/>
      <c r="H26" s="3" t="n"/>
      <c r="I26" s="3" t="n"/>
      <c r="J26" s="3" t="inlineStr">
        <is>
          <t>OČR 1.2. = víkend</t>
        </is>
      </c>
    </row>
    <row r="27">
      <c r="A27" s="3" t="inlineStr">
        <is>
          <t>VZC</t>
        </is>
      </c>
      <c r="B27" s="3" t="inlineStr">
        <is>
          <t>Mayer Pavla</t>
        </is>
      </c>
      <c r="C27" s="3" t="inlineStr">
        <is>
          <t>Recepce</t>
        </is>
      </c>
      <c r="D27" s="3" t="inlineStr">
        <is>
          <t>VZC</t>
        </is>
      </c>
      <c r="E27" s="3" t="n">
        <v>20</v>
      </c>
      <c r="F27" s="3" t="n">
        <v>20</v>
      </c>
      <c r="G27" s="3" t="n"/>
      <c r="H27" s="3" t="n"/>
      <c r="I27" s="3" t="n"/>
      <c r="J27" s="3" t="n"/>
    </row>
    <row r="28">
      <c r="A28" s="3" t="inlineStr">
        <is>
          <t>VZC</t>
        </is>
      </c>
      <c r="B28" s="3" t="inlineStr">
        <is>
          <t>Neffe Irena</t>
        </is>
      </c>
      <c r="C28" s="3" t="inlineStr">
        <is>
          <t>Lékař</t>
        </is>
      </c>
      <c r="D28" s="3" t="inlineStr">
        <is>
          <t>Ústí</t>
        </is>
      </c>
      <c r="E28" s="3" t="n">
        <v>20</v>
      </c>
      <c r="F28" s="3" t="n"/>
      <c r="G28" s="3" t="n"/>
      <c r="H28" s="3" t="n"/>
      <c r="I28" s="3" t="n"/>
      <c r="J28" s="3" t="n"/>
    </row>
    <row r="29">
      <c r="A29" s="3" t="inlineStr">
        <is>
          <t>VZC</t>
        </is>
      </c>
      <c r="B29" s="3" t="inlineStr">
        <is>
          <t>Nováčková Lucie</t>
        </is>
      </c>
      <c r="C29" s="3" t="inlineStr">
        <is>
          <t>Sestra</t>
        </is>
      </c>
      <c r="D29" s="3" t="inlineStr">
        <is>
          <t>VZC</t>
        </is>
      </c>
      <c r="E29" s="3" t="n">
        <v>20</v>
      </c>
      <c r="F29" s="3" t="n">
        <v>20</v>
      </c>
      <c r="G29" s="3" t="n"/>
      <c r="H29" s="3" t="n"/>
      <c r="I29" s="3" t="n"/>
      <c r="J29" s="3" t="n"/>
    </row>
    <row r="30">
      <c r="A30" s="3" t="inlineStr">
        <is>
          <t>VZC</t>
        </is>
      </c>
      <c r="B30" s="3" t="inlineStr">
        <is>
          <t>Nováčková Věra</t>
        </is>
      </c>
      <c r="C30" s="3" t="inlineStr">
        <is>
          <t>Lékař</t>
        </is>
      </c>
      <c r="D30" s="3" t="inlineStr">
        <is>
          <t>Louny</t>
        </is>
      </c>
      <c r="E30" s="3" t="n">
        <v>20</v>
      </c>
      <c r="F30" s="3" t="n"/>
      <c r="G30" s="3" t="n"/>
      <c r="H30" s="3" t="n"/>
      <c r="I30" s="3" t="n"/>
      <c r="J30" s="3" t="n"/>
    </row>
    <row r="31">
      <c r="A31" s="3" t="inlineStr">
        <is>
          <t>VZC</t>
        </is>
      </c>
      <c r="B31" s="3" t="inlineStr">
        <is>
          <t>Nykodymová Alexandra</t>
        </is>
      </c>
      <c r="C31" s="3" t="inlineStr">
        <is>
          <t>EXT</t>
        </is>
      </c>
      <c r="D31" s="3" t="inlineStr">
        <is>
          <t>Louny</t>
        </is>
      </c>
      <c r="E31" s="3" t="n">
        <v>20</v>
      </c>
      <c r="F31" s="3" t="n"/>
      <c r="G31" s="3" t="n"/>
      <c r="H31" s="3" t="n"/>
      <c r="I31" s="3" t="n">
        <v>29</v>
      </c>
      <c r="J31" s="3" t="n"/>
    </row>
    <row r="32">
      <c r="A32" s="3" t="inlineStr">
        <is>
          <t>VZC</t>
        </is>
      </c>
      <c r="B32" s="3" t="inlineStr">
        <is>
          <t>Obr Pavel</t>
        </is>
      </c>
      <c r="C32" s="3" t="inlineStr">
        <is>
          <t>EXT</t>
        </is>
      </c>
      <c r="D32" s="3" t="inlineStr">
        <is>
          <t>VZC</t>
        </is>
      </c>
      <c r="E32" s="3" t="n">
        <v>20</v>
      </c>
      <c r="F32" s="3" t="n"/>
      <c r="G32" s="3" t="n"/>
      <c r="H32" s="3" t="n"/>
      <c r="I32" s="3" t="n"/>
      <c r="J32" s="3" t="n"/>
    </row>
    <row r="33">
      <c r="A33" s="3" t="inlineStr">
        <is>
          <t>VZC</t>
        </is>
      </c>
      <c r="B33" s="3" t="inlineStr">
        <is>
          <t>Parkhomenko Artem</t>
        </is>
      </c>
      <c r="C33" s="3" t="inlineStr">
        <is>
          <t>Lékař</t>
        </is>
      </c>
      <c r="D33" s="3" t="inlineStr">
        <is>
          <t>Louny</t>
        </is>
      </c>
      <c r="E33" s="3" t="n">
        <v>20</v>
      </c>
      <c r="F33" s="3" t="n">
        <v>18</v>
      </c>
      <c r="G33" s="3" t="n">
        <v>16</v>
      </c>
      <c r="H33" s="3" t="n"/>
      <c r="I33" s="3" t="n"/>
      <c r="J33" s="3" t="inlineStr">
        <is>
          <t>Dov: 16.-17.2.</t>
        </is>
      </c>
    </row>
    <row r="34">
      <c r="A34" s="3" t="inlineStr">
        <is>
          <t>VZC</t>
        </is>
      </c>
      <c r="B34" s="3" t="inlineStr">
        <is>
          <t>Parkhomenko Olga</t>
        </is>
      </c>
      <c r="C34" s="3" t="inlineStr">
        <is>
          <t>ADM</t>
        </is>
      </c>
      <c r="D34" s="3" t="inlineStr">
        <is>
          <t>Louny</t>
        </is>
      </c>
      <c r="E34" s="3" t="n">
        <v>20</v>
      </c>
      <c r="F34" s="3" t="n"/>
      <c r="G34" s="3" t="n"/>
      <c r="H34" s="3" t="n"/>
      <c r="I34" s="3" t="n"/>
      <c r="J34" s="3" t="n"/>
    </row>
    <row r="35">
      <c r="A35" s="3" t="inlineStr">
        <is>
          <t>VZC</t>
        </is>
      </c>
      <c r="B35" s="3" t="inlineStr">
        <is>
          <t>Pecháčková Kristýna</t>
        </is>
      </c>
      <c r="C35" s="3" t="inlineStr">
        <is>
          <t>Sestra</t>
        </is>
      </c>
      <c r="D35" s="3" t="inlineStr">
        <is>
          <t>Ústí</t>
        </is>
      </c>
      <c r="E35" s="3" t="n">
        <v>20</v>
      </c>
      <c r="F35" s="3" t="n">
        <v>20</v>
      </c>
      <c r="G35" s="3" t="n"/>
      <c r="H35" s="3" t="n"/>
      <c r="I35" s="3" t="n"/>
      <c r="J35" s="3" t="n"/>
    </row>
    <row r="36">
      <c r="A36" s="3" t="inlineStr">
        <is>
          <t>VZC</t>
        </is>
      </c>
      <c r="B36" s="3" t="inlineStr">
        <is>
          <t>Poluzina Maria</t>
        </is>
      </c>
      <c r="C36" s="3" t="inlineStr">
        <is>
          <t>EXT</t>
        </is>
      </c>
      <c r="D36" s="3" t="inlineStr">
        <is>
          <t>VZC</t>
        </is>
      </c>
      <c r="E36" s="3" t="n">
        <v>20</v>
      </c>
      <c r="F36" s="3" t="n"/>
      <c r="G36" s="3" t="n"/>
      <c r="H36" s="3" t="n"/>
      <c r="I36" s="3" t="n"/>
      <c r="J36" s="3" t="n"/>
    </row>
    <row r="37">
      <c r="A37" s="3" t="inlineStr">
        <is>
          <t>VZC</t>
        </is>
      </c>
      <c r="B37" s="3" t="inlineStr">
        <is>
          <t>Šafaříková Martina</t>
        </is>
      </c>
      <c r="C37" s="3" t="inlineStr">
        <is>
          <t>EXT</t>
        </is>
      </c>
      <c r="D37" s="3" t="inlineStr">
        <is>
          <t>VZC</t>
        </is>
      </c>
      <c r="E37" s="3" t="n">
        <v>20</v>
      </c>
      <c r="F37" s="3" t="n"/>
      <c r="G37" s="3" t="n"/>
      <c r="H37" s="3" t="n"/>
      <c r="I37" s="3" t="n"/>
      <c r="J37" s="3" t="n"/>
    </row>
    <row r="38">
      <c r="A38" s="3" t="inlineStr">
        <is>
          <t>VZC</t>
        </is>
      </c>
      <c r="B38" s="3" t="inlineStr">
        <is>
          <t>Šafaříková Sabina</t>
        </is>
      </c>
      <c r="C38" s="3" t="inlineStr">
        <is>
          <t>DH</t>
        </is>
      </c>
      <c r="D38" s="3" t="inlineStr">
        <is>
          <t>Ústí</t>
        </is>
      </c>
      <c r="E38" s="3" t="n">
        <v>20</v>
      </c>
      <c r="F38" s="3" t="n">
        <v>8</v>
      </c>
      <c r="G38" s="3" t="n"/>
      <c r="H38" s="3" t="n">
        <v>96</v>
      </c>
      <c r="I38" s="3" t="n"/>
      <c r="J38" s="3" t="inlineStr">
        <is>
          <t>Nem: 2.-17.2.; 16.-17. již byla v práci, ale PN pokračovala</t>
        </is>
      </c>
    </row>
    <row r="39">
      <c r="A39" s="3" t="inlineStr">
        <is>
          <t>VZC</t>
        </is>
      </c>
      <c r="B39" s="3" t="inlineStr">
        <is>
          <t>Šedová Valentýna</t>
        </is>
      </c>
      <c r="C39" s="3" t="inlineStr">
        <is>
          <t>EXT</t>
        </is>
      </c>
      <c r="D39" s="3" t="inlineStr">
        <is>
          <t>VZC</t>
        </is>
      </c>
      <c r="E39" s="3" t="n">
        <v>20</v>
      </c>
      <c r="F39" s="3" t="n"/>
      <c r="G39" s="3" t="n"/>
      <c r="H39" s="3" t="n"/>
      <c r="I39" s="3" t="n"/>
      <c r="J39" s="3" t="n"/>
    </row>
    <row r="40">
      <c r="A40" s="3" t="inlineStr">
        <is>
          <t>VZC</t>
        </is>
      </c>
      <c r="B40" s="3" t="inlineStr">
        <is>
          <t>Sémová Petra</t>
        </is>
      </c>
      <c r="C40" s="3" t="inlineStr">
        <is>
          <t>Sestra</t>
        </is>
      </c>
      <c r="D40" s="3" t="inlineStr">
        <is>
          <t>Louny</t>
        </is>
      </c>
      <c r="E40" s="3" t="n">
        <v>20</v>
      </c>
      <c r="F40" s="3" t="n">
        <v>20</v>
      </c>
      <c r="G40" s="3" t="n"/>
      <c r="H40" s="3" t="n"/>
      <c r="I40" s="3" t="n">
        <v>10</v>
      </c>
      <c r="J40" s="3" t="n"/>
    </row>
    <row r="41">
      <c r="A41" s="3" t="inlineStr">
        <is>
          <t>VZC</t>
        </is>
      </c>
      <c r="B41" s="3" t="inlineStr">
        <is>
          <t>Serhejev Serhij</t>
        </is>
      </c>
      <c r="C41" s="3" t="inlineStr">
        <is>
          <t>Lékař</t>
        </is>
      </c>
      <c r="D41" s="3" t="inlineStr">
        <is>
          <t>Louny</t>
        </is>
      </c>
      <c r="E41" s="3" t="n">
        <v>20</v>
      </c>
      <c r="F41" s="3" t="n">
        <v>20</v>
      </c>
      <c r="G41" s="3" t="n"/>
      <c r="H41" s="3" t="n"/>
      <c r="I41" s="3" t="n"/>
      <c r="J41" s="3" t="n"/>
    </row>
    <row r="42">
      <c r="A42" s="3" t="inlineStr">
        <is>
          <t>VZC</t>
        </is>
      </c>
      <c r="B42" s="3" t="inlineStr">
        <is>
          <t>Sujová Jarmila</t>
        </is>
      </c>
      <c r="C42" s="3" t="inlineStr">
        <is>
          <t>Sestra</t>
        </is>
      </c>
      <c r="D42" s="3" t="inlineStr">
        <is>
          <t>Louny</t>
        </is>
      </c>
      <c r="E42" s="3" t="n">
        <v>20</v>
      </c>
      <c r="F42" s="3" t="n">
        <v>20</v>
      </c>
      <c r="G42" s="3" t="n"/>
      <c r="H42" s="3" t="n"/>
      <c r="I42" s="3" t="n"/>
      <c r="J42" s="3" t="n"/>
    </row>
    <row r="43">
      <c r="A43" s="3" t="inlineStr">
        <is>
          <t>VZC</t>
        </is>
      </c>
      <c r="B43" s="3" t="inlineStr">
        <is>
          <t>Švedová Marie</t>
        </is>
      </c>
      <c r="C43" s="3" t="inlineStr">
        <is>
          <t>EXT</t>
        </is>
      </c>
      <c r="D43" s="3" t="inlineStr">
        <is>
          <t>VZC</t>
        </is>
      </c>
      <c r="E43" s="3" t="n">
        <v>20</v>
      </c>
      <c r="F43" s="3" t="n">
        <v>16</v>
      </c>
      <c r="G43" s="3" t="n"/>
      <c r="H43" s="3" t="n"/>
      <c r="I43" s="3" t="n"/>
      <c r="J43" s="3" t="n"/>
    </row>
    <row r="44">
      <c r="A44" s="3" t="inlineStr">
        <is>
          <t>VZC</t>
        </is>
      </c>
      <c r="B44" s="3" t="inlineStr">
        <is>
          <t>Tůma Tina</t>
        </is>
      </c>
      <c r="C44" s="3" t="inlineStr">
        <is>
          <t>Sestra</t>
        </is>
      </c>
      <c r="D44" s="3" t="inlineStr">
        <is>
          <t>VZC</t>
        </is>
      </c>
      <c r="E44" s="3" t="n">
        <v>19</v>
      </c>
      <c r="F44" s="3" t="n">
        <v>19</v>
      </c>
      <c r="G44" s="3" t="n"/>
      <c r="H44" s="3" t="n"/>
      <c r="I44" s="3" t="n"/>
      <c r="J44" s="3" t="n"/>
    </row>
    <row r="45">
      <c r="A45" s="3" t="inlineStr">
        <is>
          <t>VZC</t>
        </is>
      </c>
      <c r="B45" s="3" t="inlineStr">
        <is>
          <t>Tyle Radim</t>
        </is>
      </c>
      <c r="C45" s="3" t="inlineStr">
        <is>
          <t>Lékař</t>
        </is>
      </c>
      <c r="D45" s="3" t="inlineStr">
        <is>
          <t>Ústí</t>
        </is>
      </c>
      <c r="E45" s="3" t="n">
        <v>20</v>
      </c>
      <c r="F45" s="3" t="n">
        <v>20</v>
      </c>
      <c r="G45" s="3" t="n"/>
      <c r="H45" s="3" t="n"/>
      <c r="I45" s="3" t="n"/>
      <c r="J45" s="3" t="n"/>
    </row>
    <row r="46">
      <c r="A46" s="3" t="inlineStr">
        <is>
          <t>VZC</t>
        </is>
      </c>
      <c r="B46" s="3" t="inlineStr">
        <is>
          <t>Uhály Michal</t>
        </is>
      </c>
      <c r="C46" s="3" t="inlineStr">
        <is>
          <t>Lékař</t>
        </is>
      </c>
      <c r="D46" s="3" t="inlineStr">
        <is>
          <t>Ústí</t>
        </is>
      </c>
      <c r="E46" s="3" t="n">
        <v>20</v>
      </c>
      <c r="F46" s="3" t="n">
        <v>19</v>
      </c>
      <c r="G46" s="3" t="n">
        <v>8</v>
      </c>
      <c r="H46" s="3" t="n"/>
      <c r="I46" s="3" t="n"/>
      <c r="J46" s="3" t="inlineStr">
        <is>
          <t>Dov: 27.2.</t>
        </is>
      </c>
    </row>
    <row r="47">
      <c r="A47" s="3" t="inlineStr">
        <is>
          <t>VZC</t>
        </is>
      </c>
      <c r="B47" s="3" t="inlineStr">
        <is>
          <t>Zábranská Lucie</t>
        </is>
      </c>
      <c r="C47" s="3" t="inlineStr">
        <is>
          <t>EXT</t>
        </is>
      </c>
      <c r="D47" s="3" t="inlineStr">
        <is>
          <t>VZC</t>
        </is>
      </c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4:J61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:D1"/>
    </sheetView>
  </sheetViews>
  <sheetFormatPr baseColWidth="8" defaultRowHeight="15"/>
  <cols>
    <col width="15" customWidth="1" style="20" min="1" max="1"/>
    <col width="20" customWidth="1" style="20" min="2" max="2"/>
    <col width="30" customWidth="1" style="20" min="3" max="3"/>
    <col width="35" customWidth="1" style="20" min="4" max="4"/>
  </cols>
  <sheetData>
    <row r="1" ht="18.75" customHeight="1" s="20">
      <c r="A1" s="22" t="inlineStr">
        <is>
          <t>⚙️ NEXUS - SYSTÉMOVÉ NASTAVENÍ</t>
        </is>
      </c>
    </row>
    <row r="3" ht="15.75" customHeight="1" s="20">
      <c r="A3" s="12" t="inlineStr">
        <is>
          <t>SPOLEČNOSTI</t>
        </is>
      </c>
    </row>
    <row r="4">
      <c r="A4" s="13" t="inlineStr">
        <is>
          <t>ID</t>
        </is>
      </c>
      <c r="B4" s="13" t="inlineStr">
        <is>
          <t>Kód</t>
        </is>
      </c>
      <c r="C4" s="13" t="inlineStr">
        <is>
          <t>Název</t>
        </is>
      </c>
      <c r="D4" s="13" t="inlineStr">
        <is>
          <t>IČO</t>
        </is>
      </c>
    </row>
    <row r="5">
      <c r="A5" s="3" t="inlineStr">
        <is>
          <t>COMP001</t>
        </is>
      </c>
      <c r="B5" s="3" t="inlineStr">
        <is>
          <t>INVESTIMENTI</t>
        </is>
      </c>
      <c r="C5" s="3" t="inlineStr">
        <is>
          <t>INVESTIMENTI s.r.o.</t>
        </is>
      </c>
      <c r="D5" s="3" t="inlineStr">
        <is>
          <t>14336642</t>
        </is>
      </c>
    </row>
    <row r="6">
      <c r="A6" s="3" t="inlineStr">
        <is>
          <t>COMP002</t>
        </is>
      </c>
      <c r="B6" s="3" t="inlineStr">
        <is>
          <t>VZC</t>
        </is>
      </c>
      <c r="C6" s="3" t="inlineStr">
        <is>
          <t>VZC s.r.o.</t>
        </is>
      </c>
      <c r="D6" s="3" t="inlineStr">
        <is>
          <t>04084471</t>
        </is>
      </c>
    </row>
    <row r="7">
      <c r="A7" s="3" t="inlineStr">
        <is>
          <t>COMP003</t>
        </is>
      </c>
      <c r="B7" s="3" t="inlineStr">
        <is>
          <t>VZC-LN</t>
        </is>
      </c>
      <c r="C7" s="3" t="inlineStr">
        <is>
          <t>VZC Louny s.r.o.</t>
        </is>
      </c>
      <c r="D7" s="3" t="inlineStr">
        <is>
          <t>21825742</t>
        </is>
      </c>
    </row>
    <row r="8">
      <c r="A8" s="3" t="inlineStr">
        <is>
          <t>COMP004</t>
        </is>
      </c>
      <c r="B8" s="3" t="inlineStr">
        <is>
          <t>VZC-UL</t>
        </is>
      </c>
      <c r="C8" s="3" t="inlineStr">
        <is>
          <t>VZC Ústí n.L. s.r.o.</t>
        </is>
      </c>
      <c r="D8" s="3" t="inlineStr">
        <is>
          <t>21825769</t>
        </is>
      </c>
    </row>
    <row r="9">
      <c r="A9" s="3" t="inlineStr">
        <is>
          <t>COMP005</t>
        </is>
      </c>
      <c r="B9" s="3" t="inlineStr">
        <is>
          <t>KERA</t>
        </is>
      </c>
      <c r="C9" s="3" t="inlineStr">
        <is>
          <t>KERA-DENS s.r.o.</t>
        </is>
      </c>
      <c r="D9" s="3" t="inlineStr">
        <is>
          <t>61536300</t>
        </is>
      </c>
    </row>
    <row r="10">
      <c r="A10" s="3" t="inlineStr">
        <is>
          <t>COMP006</t>
        </is>
      </c>
      <c r="B10" s="3" t="inlineStr">
        <is>
          <t>LOGPACK</t>
        </is>
      </c>
      <c r="C10" s="3" t="inlineStr">
        <is>
          <t>LOGPACK, s.r.o.</t>
        </is>
      </c>
      <c r="D10" s="3" t="inlineStr">
        <is>
          <t>05822041</t>
        </is>
      </c>
    </row>
    <row r="12" ht="15.75" customHeight="1" s="20">
      <c r="A12" s="12" t="inlineStr">
        <is>
          <t>PRACOVIŠTĚ</t>
        </is>
      </c>
    </row>
    <row r="13">
      <c r="A13" s="13" t="inlineStr">
        <is>
          <t>ID</t>
        </is>
      </c>
      <c r="B13" s="13" t="inlineStr">
        <is>
          <t>Kód</t>
        </is>
      </c>
      <c r="C13" s="13" t="inlineStr">
        <is>
          <t>Název</t>
        </is>
      </c>
      <c r="D13" s="13" t="inlineStr">
        <is>
          <t>Společnost</t>
        </is>
      </c>
    </row>
    <row r="14">
      <c r="A14" s="3" t="inlineStr">
        <is>
          <t>LOC001</t>
        </is>
      </c>
      <c r="B14" s="3" t="inlineStr">
        <is>
          <t>USTI</t>
        </is>
      </c>
      <c r="C14" s="3" t="inlineStr">
        <is>
          <t>VZC Ústí nad Labem</t>
        </is>
      </c>
      <c r="D14" s="3" t="inlineStr">
        <is>
          <t>VZC-UL</t>
        </is>
      </c>
    </row>
    <row r="15">
      <c r="A15" s="3" t="inlineStr">
        <is>
          <t>LOC002</t>
        </is>
      </c>
      <c r="B15" s="3" t="inlineStr">
        <is>
          <t>LOUNY</t>
        </is>
      </c>
      <c r="C15" s="3" t="inlineStr">
        <is>
          <t>VZC Louny</t>
        </is>
      </c>
      <c r="D15" s="3" t="inlineStr">
        <is>
          <t>VZC-LN</t>
        </is>
      </c>
    </row>
    <row r="16">
      <c r="A16" s="3" t="inlineStr">
        <is>
          <t>LOC003</t>
        </is>
      </c>
      <c r="B16" s="3" t="inlineStr">
        <is>
          <t>VZC</t>
        </is>
      </c>
      <c r="C16" s="3" t="inlineStr">
        <is>
          <t>VZC Centrála</t>
        </is>
      </c>
      <c r="D16" s="3" t="inlineStr">
        <is>
          <t>VZC</t>
        </is>
      </c>
    </row>
    <row r="17">
      <c r="A17" s="3" t="inlineStr">
        <is>
          <t>LOC004</t>
        </is>
      </c>
      <c r="B17" s="3" t="inlineStr">
        <is>
          <t>KERA</t>
        </is>
      </c>
      <c r="C17" s="3" t="inlineStr">
        <is>
          <t>KERA-DENS Laboratoř</t>
        </is>
      </c>
      <c r="D17" s="3" t="inlineStr">
        <is>
          <t>KERA</t>
        </is>
      </c>
    </row>
    <row r="20" ht="15.75" customHeight="1" s="20">
      <c r="A20" s="12" t="inlineStr">
        <is>
          <t>VARIABILNÍ SLOŽKY</t>
        </is>
      </c>
    </row>
    <row r="21">
      <c r="A21" s="13" t="inlineStr">
        <is>
          <t>Kód</t>
        </is>
      </c>
      <c r="B21" s="13" t="inlineStr">
        <is>
          <t>Název</t>
        </is>
      </c>
      <c r="C21" s="13" t="inlineStr">
        <is>
          <t>Popis</t>
        </is>
      </c>
      <c r="D21" s="13" t="inlineStr">
        <is>
          <t>Vzorec</t>
        </is>
      </c>
    </row>
    <row r="22">
      <c r="A22" s="3" t="inlineStr">
        <is>
          <t>Z OBRATU</t>
        </is>
      </c>
      <c r="B22" s="3" t="inlineStr">
        <is>
          <t>Dopočet z obratu</t>
        </is>
      </c>
      <c r="C22" s="3" t="inlineStr">
        <is>
          <t>% z hrubého obratu nad práh</t>
        </is>
      </c>
      <c r="D22" s="3" t="inlineStr">
        <is>
          <t>MAX(0, (Obrat - Práh) × %)</t>
        </is>
      </c>
    </row>
    <row r="23">
      <c r="A23" s="3" t="inlineStr">
        <is>
          <t>PROVIZE</t>
        </is>
      </c>
      <c r="B23" s="3" t="inlineStr">
        <is>
          <t>Provize</t>
        </is>
      </c>
      <c r="C23" s="3" t="inlineStr">
        <is>
          <t>% z konkrétního výkonu</t>
        </is>
      </c>
      <c r="D23" s="3" t="inlineStr">
        <is>
          <t>Výkon × %</t>
        </is>
      </c>
    </row>
    <row r="24">
      <c r="A24" s="3" t="inlineStr">
        <is>
          <t>BONUS</t>
        </is>
      </c>
      <c r="B24" s="3" t="inlineStr">
        <is>
          <t>Bonus</t>
        </is>
      </c>
      <c r="C24" s="3" t="inlineStr">
        <is>
          <t>Jednorázová částka</t>
        </is>
      </c>
      <c r="D24" s="3" t="inlineStr">
        <is>
          <t>Pevná částka</t>
        </is>
      </c>
    </row>
    <row r="28" ht="15.75" customHeight="1" s="20">
      <c r="A28" s="12" t="inlineStr">
        <is>
          <t>ROLE A OPRÁVNĚNÍ</t>
        </is>
      </c>
    </row>
    <row r="29">
      <c r="A29" s="13" t="inlineStr">
        <is>
          <t>Role</t>
        </is>
      </c>
      <c r="B29" s="13" t="inlineStr">
        <is>
          <t>Vidí tarify</t>
        </is>
      </c>
      <c r="C29" s="13" t="inlineStr">
        <is>
          <t>Vidí CEO_ONLY</t>
        </is>
      </c>
      <c r="D29" s="13" t="inlineStr">
        <is>
          <t>Schvaluje</t>
        </is>
      </c>
      <c r="E29" s="13" t="inlineStr">
        <is>
          <t>Exportuje</t>
        </is>
      </c>
    </row>
    <row r="30">
      <c r="A30" s="3" t="inlineStr">
        <is>
          <t>CEO</t>
        </is>
      </c>
      <c r="B30" s="3" t="inlineStr">
        <is>
          <t>ANO</t>
        </is>
      </c>
      <c r="C30" s="3" t="inlineStr">
        <is>
          <t>ANO</t>
        </is>
      </c>
      <c r="D30" s="3" t="inlineStr">
        <is>
          <t>ANO</t>
        </is>
      </c>
      <c r="E30" s="3" t="inlineStr">
        <is>
          <t>ANO</t>
        </is>
      </c>
    </row>
    <row r="31">
      <c r="A31" s="3" t="inlineStr">
        <is>
          <t>Partner</t>
        </is>
      </c>
      <c r="B31" s="3" t="inlineStr">
        <is>
          <t>Svá divize</t>
        </is>
      </c>
      <c r="C31" s="3" t="inlineStr">
        <is>
          <t>NE</t>
        </is>
      </c>
      <c r="D31" s="3" t="inlineStr">
        <is>
          <t>Svá divize</t>
        </is>
      </c>
      <c r="E31" s="3" t="inlineStr">
        <is>
          <t>NE</t>
        </is>
      </c>
    </row>
    <row r="32">
      <c r="A32" s="3" t="inlineStr">
        <is>
          <t>HR</t>
        </is>
      </c>
      <c r="B32" s="3" t="inlineStr">
        <is>
          <t>ANO</t>
        </is>
      </c>
      <c r="C32" s="3" t="inlineStr">
        <is>
          <t>NE</t>
        </is>
      </c>
      <c r="D32" s="3" t="inlineStr">
        <is>
          <t>NE</t>
        </is>
      </c>
      <c r="E32" s="3" t="inlineStr">
        <is>
          <t>ANO</t>
        </is>
      </c>
    </row>
    <row r="33">
      <c r="A33" s="3" t="inlineStr">
        <is>
          <t>Vedoucí</t>
        </is>
      </c>
      <c r="B33" s="3" t="inlineStr">
        <is>
          <t>NE</t>
        </is>
      </c>
      <c r="C33" s="3" t="inlineStr">
        <is>
          <t>NE</t>
        </is>
      </c>
      <c r="D33" s="3" t="inlineStr">
        <is>
          <t>Svůj tým</t>
        </is>
      </c>
      <c r="E33" s="3" t="inlineStr">
        <is>
          <t>NE</t>
        </is>
      </c>
    </row>
    <row r="34">
      <c r="A34" s="3" t="inlineStr">
        <is>
          <t>Zaměstnanec</t>
        </is>
      </c>
      <c r="B34" s="3" t="inlineStr">
        <is>
          <t>NE</t>
        </is>
      </c>
      <c r="C34" s="3" t="inlineStr">
        <is>
          <t>NE</t>
        </is>
      </c>
      <c r="D34" s="3" t="inlineStr">
        <is>
          <t>NE</t>
        </is>
      </c>
      <c r="E34" s="3" t="inlineStr">
        <is>
          <t>NE</t>
        </is>
      </c>
    </row>
    <row r="36" ht="15.75" customHeight="1" s="20">
      <c r="A36" s="12" t="inlineStr">
        <is>
          <t>BENEFITY - KATALOG</t>
        </is>
      </c>
    </row>
    <row r="37">
      <c r="A37" s="13" t="inlineStr">
        <is>
          <t>Kód</t>
        </is>
      </c>
      <c r="B37" s="13" t="inlineStr">
        <is>
          <t>Název</t>
        </is>
      </c>
      <c r="C37" s="13" t="inlineStr">
        <is>
          <t>Typ</t>
        </is>
      </c>
      <c r="D37" s="13" t="inlineStr">
        <is>
          <t>Default hodnota</t>
        </is>
      </c>
      <c r="E37" s="13" t="inlineStr">
        <is>
          <t>Popis</t>
        </is>
      </c>
    </row>
    <row r="38">
      <c r="A38" s="3" t="inlineStr">
        <is>
          <t>STRAV</t>
        </is>
      </c>
      <c r="B38" s="3" t="inlineStr">
        <is>
          <t>Stravenky</t>
        </is>
      </c>
      <c r="C38" s="3" t="inlineStr">
        <is>
          <t>Nepeněžní</t>
        </is>
      </c>
      <c r="D38" s="3" t="inlineStr">
        <is>
          <t>120 Kč/den</t>
        </is>
      </c>
      <c r="E38" s="3" t="inlineStr">
        <is>
          <t>Stravenky - hodnota za pracovní den</t>
        </is>
      </c>
    </row>
    <row r="39">
      <c r="A39" s="3" t="inlineStr">
        <is>
          <t>MULTI</t>
        </is>
      </c>
      <c r="B39" s="3" t="inlineStr">
        <is>
          <t>Multisport</t>
        </is>
      </c>
      <c r="C39" s="3" t="inlineStr">
        <is>
          <t>Nepeněžní</t>
        </is>
      </c>
      <c r="D39" s="3" t="inlineStr">
        <is>
          <t>485 Kč/měs</t>
        </is>
      </c>
      <c r="E39" s="3" t="inlineStr">
        <is>
          <t>Multisport karta - měsíční příspěvek</t>
        </is>
      </c>
    </row>
    <row r="40">
      <c r="A40" s="3" t="inlineStr">
        <is>
          <t>KAFET</t>
        </is>
      </c>
      <c r="B40" s="3" t="inlineStr">
        <is>
          <t>Kafeterie</t>
        </is>
      </c>
      <c r="C40" s="3" t="inlineStr">
        <is>
          <t>Srážka</t>
        </is>
      </c>
      <c r="D40" s="3" t="inlineStr">
        <is>
          <t>50-100 Kč/měs</t>
        </is>
      </c>
      <c r="E40" s="3" t="inlineStr">
        <is>
          <t>Benefit program - srážka ze mzdy</t>
        </is>
      </c>
    </row>
    <row r="41">
      <c r="A41" s="3" t="inlineStr">
        <is>
          <t>PARK</t>
        </is>
      </c>
      <c r="B41" s="3" t="inlineStr">
        <is>
          <t>Parkovné</t>
        </is>
      </c>
      <c r="C41" s="3" t="inlineStr">
        <is>
          <t>Srážka</t>
        </is>
      </c>
      <c r="D41" s="3" t="inlineStr">
        <is>
          <t>375-500 Kč/měs</t>
        </is>
      </c>
      <c r="E41" s="3" t="inlineStr">
        <is>
          <t>Parkovací místo - srážka ze mzdy</t>
        </is>
      </c>
    </row>
    <row r="42">
      <c r="A42" s="3" t="inlineStr">
        <is>
          <t>OBEDY</t>
        </is>
      </c>
      <c r="B42" s="3" t="inlineStr">
        <is>
          <t>Obědy</t>
        </is>
      </c>
      <c r="C42" s="3" t="inlineStr">
        <is>
          <t>Srážka</t>
        </is>
      </c>
      <c r="D42" s="3" t="inlineStr">
        <is>
          <t>Dle spotřeby</t>
        </is>
      </c>
      <c r="E42" s="3" t="inlineStr">
        <is>
          <t>Závodní stravování - srážka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4" topLeftCell="A5" activePane="bottomLeft" state="frozen"/>
      <selection pane="bottomLeft" activeCell="N35" sqref="N35"/>
    </sheetView>
  </sheetViews>
  <sheetFormatPr baseColWidth="8" defaultRowHeight="15"/>
  <cols>
    <col width="8" customWidth="1" style="20" min="1" max="1"/>
    <col width="10" customWidth="1" style="20" min="2" max="2"/>
    <col width="20" customWidth="1" style="20" min="3" max="3"/>
    <col width="18" customWidth="1" style="20" min="4" max="4"/>
    <col width="14" customWidth="1" style="20" min="5" max="5"/>
    <col width="12" customWidth="1" style="20" min="6" max="6"/>
    <col width="6" customWidth="1" style="20" min="7" max="9"/>
    <col width="12" customWidth="1" style="20" min="10" max="10"/>
    <col width="8" customWidth="1" style="20" min="11" max="11"/>
    <col width="10" customWidth="1" style="20" min="12" max="12"/>
    <col width="8" customWidth="1" style="20" min="13" max="13"/>
    <col width="10" customWidth="1" style="20" min="14" max="17"/>
    <col width="12" customWidth="1" style="20" min="18" max="18"/>
    <col width="30" customWidth="1" style="20" min="19" max="19"/>
  </cols>
  <sheetData>
    <row r="1" ht="18.75" customHeight="1" s="20">
      <c r="A1" s="22" t="inlineStr">
        <is>
          <t>⚙️ NEXUS - KATALOG PRACOVNÍCH POZIC</t>
        </is>
      </c>
    </row>
    <row r="2">
      <c r="A2" s="14" t="inlineStr">
        <is>
          <t>Každá pozice může mít: HPP + DPP + Ostatní + Nepeněžní plnění | Variabilní složky s default nastavením | Katalog je rozšiřitelný</t>
        </is>
      </c>
    </row>
    <row r="3">
      <c r="A3" s="23" t="inlineStr">
        <is>
          <t>ZÁKLADNÍ INFO</t>
        </is>
      </c>
      <c r="G3" s="23" t="inlineStr">
        <is>
          <t>ÚVAZKY</t>
        </is>
      </c>
      <c r="J3" s="23" t="inlineStr">
        <is>
          <t>VARIABILNÍ SLOŽKA</t>
        </is>
      </c>
      <c r="N3" s="23" t="inlineStr">
        <is>
          <t>BENEFITY (default)</t>
        </is>
      </c>
      <c r="R3" s="23" t="inlineStr">
        <is>
          <t>SYSTÉM</t>
        </is>
      </c>
    </row>
    <row r="4" ht="26.25" customHeight="1" s="20">
      <c r="A4" s="15" t="inlineStr">
        <is>
          <t>ID</t>
        </is>
      </c>
      <c r="B4" s="15" t="inlineStr">
        <is>
          <t>Kód</t>
        </is>
      </c>
      <c r="C4" s="15" t="inlineStr">
        <is>
          <t>Název CZ</t>
        </is>
      </c>
      <c r="D4" s="15" t="inlineStr">
        <is>
          <t>Název EN</t>
        </is>
      </c>
      <c r="E4" s="15" t="inlineStr">
        <is>
          <t>Kategorie</t>
        </is>
      </c>
      <c r="F4" s="15" t="inlineStr">
        <is>
          <t>Společnost</t>
        </is>
      </c>
      <c r="G4" s="15" t="inlineStr">
        <is>
          <t>HPP</t>
        </is>
      </c>
      <c r="H4" s="15" t="inlineStr">
        <is>
          <t>DPP</t>
        </is>
      </c>
      <c r="I4" s="15" t="inlineStr">
        <is>
          <t>DPČ</t>
        </is>
      </c>
      <c r="J4" s="15" t="inlineStr">
        <is>
          <t>Variabilní typ</t>
        </is>
      </c>
      <c r="K4" s="15" t="inlineStr">
        <is>
          <t>Var. %</t>
        </is>
      </c>
      <c r="L4" s="15" t="inlineStr">
        <is>
          <t>Práh</t>
        </is>
      </c>
      <c r="M4" s="15" t="inlineStr">
        <is>
          <t>Do hrubé</t>
        </is>
      </c>
      <c r="N4" s="15" t="inlineStr">
        <is>
          <t>Stravenky</t>
        </is>
      </c>
      <c r="O4" s="15" t="inlineStr">
        <is>
          <t>Multisport</t>
        </is>
      </c>
      <c r="P4" s="15" t="inlineStr">
        <is>
          <t>Kafeterie</t>
        </is>
      </c>
      <c r="Q4" s="15" t="inlineStr">
        <is>
          <t>Parkovné</t>
        </is>
      </c>
      <c r="R4" s="15" t="inlineStr">
        <is>
          <t>Oprávnění</t>
        </is>
      </c>
      <c r="S4" s="15" t="inlineStr">
        <is>
          <t>Popis</t>
        </is>
      </c>
    </row>
    <row r="5">
      <c r="A5" s="3" t="inlineStr">
        <is>
          <t>POS001</t>
        </is>
      </c>
      <c r="B5" s="3" t="inlineStr">
        <is>
          <t>LEK</t>
        </is>
      </c>
      <c r="C5" s="3" t="inlineStr">
        <is>
          <t>Lékař</t>
        </is>
      </c>
      <c r="D5" s="3" t="inlineStr">
        <is>
          <t>Dentist</t>
        </is>
      </c>
      <c r="E5" s="3" t="inlineStr">
        <is>
          <t>Zdravotnictví</t>
        </is>
      </c>
      <c r="F5" s="3" t="inlineStr">
        <is>
          <t>VZC</t>
        </is>
      </c>
      <c r="G5" s="3" t="inlineStr">
        <is>
          <t>ANO</t>
        </is>
      </c>
      <c r="H5" s="3" t="inlineStr">
        <is>
          <t>ANO</t>
        </is>
      </c>
      <c r="I5" s="3" t="inlineStr">
        <is>
          <t>NE</t>
        </is>
      </c>
      <c r="J5" s="3" t="inlineStr">
        <is>
          <t>Z OBRATU</t>
        </is>
      </c>
      <c r="K5" s="11" t="n">
        <v>0.25</v>
      </c>
      <c r="L5" s="4" t="n">
        <v>110000</v>
      </c>
      <c r="M5" s="3" t="inlineStr">
        <is>
          <t>ANO</t>
        </is>
      </c>
      <c r="N5" s="4" t="n">
        <v>120</v>
      </c>
      <c r="O5" s="4" t="n">
        <v>485</v>
      </c>
      <c r="P5" s="4" t="n">
        <v>100</v>
      </c>
      <c r="Q5" s="4" t="n">
        <v>500</v>
      </c>
      <c r="R5" s="3" t="inlineStr">
        <is>
          <t>Zaměstnanec</t>
        </is>
      </c>
      <c r="S5" s="3" t="inlineStr">
        <is>
          <t>Zubní lékař - stomatolog</t>
        </is>
      </c>
    </row>
    <row r="6">
      <c r="A6" s="3" t="inlineStr">
        <is>
          <t>POS002</t>
        </is>
      </c>
      <c r="B6" s="3" t="inlineStr">
        <is>
          <t>ZUB-LEK</t>
        </is>
      </c>
      <c r="C6" s="3" t="inlineStr">
        <is>
          <t>Zubní lékař</t>
        </is>
      </c>
      <c r="D6" s="3" t="inlineStr">
        <is>
          <t>Dental Surgeon</t>
        </is>
      </c>
      <c r="E6" s="3" t="inlineStr">
        <is>
          <t>Zdravotnictví</t>
        </is>
      </c>
      <c r="F6" s="3" t="inlineStr">
        <is>
          <t>VZC</t>
        </is>
      </c>
      <c r="G6" s="3" t="inlineStr">
        <is>
          <t>ANO</t>
        </is>
      </c>
      <c r="H6" s="3" t="inlineStr">
        <is>
          <t>ANO</t>
        </is>
      </c>
      <c r="I6" s="3" t="inlineStr">
        <is>
          <t>NE</t>
        </is>
      </c>
      <c r="J6" s="3" t="inlineStr">
        <is>
          <t>Z OBRATU</t>
        </is>
      </c>
      <c r="K6" s="11" t="n">
        <v>0.25</v>
      </c>
      <c r="L6" s="4" t="n">
        <v>110000</v>
      </c>
      <c r="M6" s="3" t="inlineStr">
        <is>
          <t>ANO</t>
        </is>
      </c>
      <c r="N6" s="4" t="n">
        <v>120</v>
      </c>
      <c r="O6" s="4" t="n">
        <v>485</v>
      </c>
      <c r="P6" s="4" t="n">
        <v>100</v>
      </c>
      <c r="Q6" s="4" t="n">
        <v>500</v>
      </c>
      <c r="R6" s="3" t="inlineStr">
        <is>
          <t>Zaměstnanec</t>
        </is>
      </c>
      <c r="S6" s="3" t="inlineStr">
        <is>
          <t>Specializovaný zubní lékař</t>
        </is>
      </c>
    </row>
    <row r="7">
      <c r="A7" s="3" t="inlineStr">
        <is>
          <t>POS003</t>
        </is>
      </c>
      <c r="B7" s="3" t="inlineStr">
        <is>
          <t>DH</t>
        </is>
      </c>
      <c r="C7" s="3" t="inlineStr">
        <is>
          <t>Dentální hygienistka</t>
        </is>
      </c>
      <c r="D7" s="3" t="inlineStr">
        <is>
          <t>Dental Hygienist</t>
        </is>
      </c>
      <c r="E7" s="3" t="inlineStr">
        <is>
          <t>Zdravotnictví</t>
        </is>
      </c>
      <c r="F7" s="3" t="inlineStr">
        <is>
          <t>VZC</t>
        </is>
      </c>
      <c r="G7" s="3" t="inlineStr">
        <is>
          <t>ANO</t>
        </is>
      </c>
      <c r="H7" s="3" t="inlineStr">
        <is>
          <t>ANO</t>
        </is>
      </c>
      <c r="I7" s="3" t="inlineStr">
        <is>
          <t>NE</t>
        </is>
      </c>
      <c r="J7" s="3" t="inlineStr">
        <is>
          <t>Z OBRATU</t>
        </is>
      </c>
      <c r="K7" s="11" t="n">
        <v>0.2</v>
      </c>
      <c r="L7" s="4" t="n">
        <v>80000</v>
      </c>
      <c r="M7" s="3" t="inlineStr">
        <is>
          <t>ANO</t>
        </is>
      </c>
      <c r="N7" s="4" t="n">
        <v>120</v>
      </c>
      <c r="O7" s="4" t="n">
        <v>485</v>
      </c>
      <c r="P7" s="4" t="n">
        <v>100</v>
      </c>
      <c r="Q7" s="4" t="n">
        <v>500</v>
      </c>
      <c r="R7" s="3" t="inlineStr">
        <is>
          <t>Zaměstnanec</t>
        </is>
      </c>
      <c r="S7" s="3" t="inlineStr">
        <is>
          <t>Dentální hygiena</t>
        </is>
      </c>
    </row>
    <row r="8">
      <c r="A8" s="3" t="inlineStr">
        <is>
          <t>POS004</t>
        </is>
      </c>
      <c r="B8" s="3" t="inlineStr">
        <is>
          <t>SES</t>
        </is>
      </c>
      <c r="C8" s="3" t="inlineStr">
        <is>
          <t>Sestra</t>
        </is>
      </c>
      <c r="D8" s="3" t="inlineStr">
        <is>
          <t>Dental Nurse</t>
        </is>
      </c>
      <c r="E8" s="3" t="inlineStr">
        <is>
          <t>Zdravotnictví</t>
        </is>
      </c>
      <c r="F8" s="3" t="inlineStr">
        <is>
          <t>VZC</t>
        </is>
      </c>
      <c r="G8" s="3" t="inlineStr">
        <is>
          <t>ANO</t>
        </is>
      </c>
      <c r="H8" s="3" t="inlineStr">
        <is>
          <t>ANO</t>
        </is>
      </c>
      <c r="I8" s="3" t="inlineStr">
        <is>
          <t>NE</t>
        </is>
      </c>
      <c r="J8" s="3" t="n"/>
      <c r="K8" s="11" t="n">
        <v>0</v>
      </c>
      <c r="L8" s="4" t="n">
        <v>0</v>
      </c>
      <c r="M8" s="3" t="n"/>
      <c r="N8" s="4" t="n">
        <v>120</v>
      </c>
      <c r="O8" s="4" t="n">
        <v>485</v>
      </c>
      <c r="P8" s="4" t="n">
        <v>100</v>
      </c>
      <c r="Q8" s="4" t="n">
        <v>375</v>
      </c>
      <c r="R8" s="3" t="inlineStr">
        <is>
          <t>Zaměstnanec</t>
        </is>
      </c>
      <c r="S8" s="3" t="inlineStr">
        <is>
          <t>Dentální sestra / asistentka</t>
        </is>
      </c>
    </row>
    <row r="9">
      <c r="A9" s="3" t="inlineStr">
        <is>
          <t>POS005</t>
        </is>
      </c>
      <c r="B9" s="3" t="inlineStr">
        <is>
          <t>REC</t>
        </is>
      </c>
      <c r="C9" s="3" t="inlineStr">
        <is>
          <t>Recepční</t>
        </is>
      </c>
      <c r="D9" s="3" t="inlineStr">
        <is>
          <t>Receptionist</t>
        </is>
      </c>
      <c r="E9" s="3" t="inlineStr">
        <is>
          <t>Administrativa</t>
        </is>
      </c>
      <c r="F9" s="3" t="inlineStr">
        <is>
          <t>VZC</t>
        </is>
      </c>
      <c r="G9" s="3" t="inlineStr">
        <is>
          <t>ANO</t>
        </is>
      </c>
      <c r="H9" s="3" t="inlineStr">
        <is>
          <t>ANO</t>
        </is>
      </c>
      <c r="I9" s="3" t="inlineStr">
        <is>
          <t>NE</t>
        </is>
      </c>
      <c r="J9" s="3" t="n"/>
      <c r="K9" s="11" t="n">
        <v>0</v>
      </c>
      <c r="L9" s="4" t="n">
        <v>0</v>
      </c>
      <c r="M9" s="3" t="n"/>
      <c r="N9" s="4" t="n">
        <v>120</v>
      </c>
      <c r="O9" s="4" t="n">
        <v>485</v>
      </c>
      <c r="P9" s="4" t="n">
        <v>50</v>
      </c>
      <c r="Q9" s="4" t="n">
        <v>375</v>
      </c>
      <c r="R9" s="3" t="inlineStr">
        <is>
          <t>Zaměstnanec</t>
        </is>
      </c>
      <c r="S9" s="3" t="inlineStr">
        <is>
          <t>Recepce kliniky</t>
        </is>
      </c>
    </row>
    <row r="10">
      <c r="A10" s="3" t="inlineStr">
        <is>
          <t>POS006</t>
        </is>
      </c>
      <c r="B10" s="3" t="inlineStr">
        <is>
          <t>ADM</t>
        </is>
      </c>
      <c r="C10" s="3" t="inlineStr">
        <is>
          <t>Administrativa</t>
        </is>
      </c>
      <c r="D10" s="3" t="inlineStr">
        <is>
          <t>Administration</t>
        </is>
      </c>
      <c r="E10" s="3" t="inlineStr">
        <is>
          <t>Administrativa</t>
        </is>
      </c>
      <c r="F10" s="3" t="inlineStr">
        <is>
          <t>VZC+KERA</t>
        </is>
      </c>
      <c r="G10" s="3" t="inlineStr">
        <is>
          <t>ANO</t>
        </is>
      </c>
      <c r="H10" s="3" t="inlineStr">
        <is>
          <t>ANO</t>
        </is>
      </c>
      <c r="I10" s="3" t="inlineStr">
        <is>
          <t>ANO</t>
        </is>
      </c>
      <c r="J10" s="3" t="n"/>
      <c r="K10" s="11" t="n">
        <v>0</v>
      </c>
      <c r="L10" s="4" t="n">
        <v>0</v>
      </c>
      <c r="M10" s="3" t="n"/>
      <c r="N10" s="4" t="n">
        <v>120</v>
      </c>
      <c r="O10" s="4" t="n">
        <v>0</v>
      </c>
      <c r="P10" s="4" t="n">
        <v>100</v>
      </c>
      <c r="Q10" s="4" t="n">
        <v>375</v>
      </c>
      <c r="R10" s="3" t="inlineStr">
        <is>
          <t>Zaměstnanec</t>
        </is>
      </c>
      <c r="S10" s="3" t="inlineStr">
        <is>
          <t>Administrativní pracovník</t>
        </is>
      </c>
    </row>
    <row r="11">
      <c r="A11" s="3" t="inlineStr">
        <is>
          <t>POS007</t>
        </is>
      </c>
      <c r="B11" s="3" t="inlineStr">
        <is>
          <t>PM</t>
        </is>
      </c>
      <c r="C11" s="3" t="inlineStr">
        <is>
          <t>Provozní manažer</t>
        </is>
      </c>
      <c r="D11" s="3" t="inlineStr">
        <is>
          <t>Operations Manager</t>
        </is>
      </c>
      <c r="E11" s="3" t="inlineStr">
        <is>
          <t>Management</t>
        </is>
      </c>
      <c r="F11" s="3" t="inlineStr">
        <is>
          <t>VZC</t>
        </is>
      </c>
      <c r="G11" s="3" t="inlineStr">
        <is>
          <t>ANO</t>
        </is>
      </c>
      <c r="H11" s="3" t="inlineStr">
        <is>
          <t>ANO</t>
        </is>
      </c>
      <c r="I11" s="3" t="inlineStr">
        <is>
          <t>NE</t>
        </is>
      </c>
      <c r="J11" s="3" t="inlineStr">
        <is>
          <t>BONUS</t>
        </is>
      </c>
      <c r="K11" s="11" t="n">
        <v>0</v>
      </c>
      <c r="L11" s="4" t="n">
        <v>0</v>
      </c>
      <c r="M11" s="3" t="inlineStr">
        <is>
          <t>ANO</t>
        </is>
      </c>
      <c r="N11" s="4" t="n">
        <v>120</v>
      </c>
      <c r="O11" s="4" t="n">
        <v>485</v>
      </c>
      <c r="P11" s="4" t="n">
        <v>100</v>
      </c>
      <c r="Q11" s="4" t="n">
        <v>500</v>
      </c>
      <c r="R11" s="3" t="inlineStr">
        <is>
          <t>Vedoucí</t>
        </is>
      </c>
      <c r="S11" s="3" t="inlineStr">
        <is>
          <t>Vedení provozu kliniky</t>
        </is>
      </c>
    </row>
    <row r="12">
      <c r="A12" s="3" t="inlineStr">
        <is>
          <t>POS008</t>
        </is>
      </c>
      <c r="B12" s="3" t="inlineStr">
        <is>
          <t>TECH</t>
        </is>
      </c>
      <c r="C12" s="3" t="inlineStr">
        <is>
          <t>Technik</t>
        </is>
      </c>
      <c r="D12" s="3" t="inlineStr">
        <is>
          <t>Dental Technician</t>
        </is>
      </c>
      <c r="E12" s="3" t="inlineStr">
        <is>
          <t>Výroba</t>
        </is>
      </c>
      <c r="F12" s="3" t="inlineStr">
        <is>
          <t>KERA</t>
        </is>
      </c>
      <c r="G12" s="3" t="inlineStr">
        <is>
          <t>ANO</t>
        </is>
      </c>
      <c r="H12" s="3" t="inlineStr">
        <is>
          <t>ANO</t>
        </is>
      </c>
      <c r="I12" s="3" t="inlineStr">
        <is>
          <t>NE</t>
        </is>
      </c>
      <c r="J12" s="3" t="n"/>
      <c r="K12" s="11" t="n">
        <v>0</v>
      </c>
      <c r="L12" s="4" t="n">
        <v>0</v>
      </c>
      <c r="M12" s="3" t="n"/>
      <c r="N12" s="4" t="n">
        <v>120</v>
      </c>
      <c r="O12" s="4" t="n">
        <v>0</v>
      </c>
      <c r="P12" s="4" t="n">
        <v>100</v>
      </c>
      <c r="Q12" s="4" t="n">
        <v>375</v>
      </c>
      <c r="R12" s="3" t="inlineStr">
        <is>
          <t>Zaměstnanec</t>
        </is>
      </c>
      <c r="S12" s="3" t="inlineStr">
        <is>
          <t>Zubní technik - laboratoř</t>
        </is>
      </c>
    </row>
    <row r="13">
      <c r="A13" s="3" t="inlineStr">
        <is>
          <t>POS009</t>
        </is>
      </c>
      <c r="B13" s="3" t="inlineStr">
        <is>
          <t>ZUB-TECH</t>
        </is>
      </c>
      <c r="C13" s="3" t="inlineStr">
        <is>
          <t>Zubní technik</t>
        </is>
      </c>
      <c r="D13" s="3" t="inlineStr">
        <is>
          <t>Dental Lab Technician</t>
        </is>
      </c>
      <c r="E13" s="3" t="inlineStr">
        <is>
          <t>Výroba</t>
        </is>
      </c>
      <c r="F13" s="3" t="inlineStr">
        <is>
          <t>KERA</t>
        </is>
      </c>
      <c r="G13" s="3" t="inlineStr">
        <is>
          <t>ANO</t>
        </is>
      </c>
      <c r="H13" s="3" t="inlineStr">
        <is>
          <t>ANO</t>
        </is>
      </c>
      <c r="I13" s="3" t="inlineStr">
        <is>
          <t>NE</t>
        </is>
      </c>
      <c r="J13" s="3" t="n"/>
      <c r="K13" s="11" t="n">
        <v>0</v>
      </c>
      <c r="L13" s="4" t="n">
        <v>0</v>
      </c>
      <c r="M13" s="3" t="n"/>
      <c r="N13" s="4" t="n">
        <v>120</v>
      </c>
      <c r="O13" s="4" t="n">
        <v>0</v>
      </c>
      <c r="P13" s="4" t="n">
        <v>100</v>
      </c>
      <c r="Q13" s="4" t="n">
        <v>375</v>
      </c>
      <c r="R13" s="3" t="inlineStr">
        <is>
          <t>Zaměstnanec</t>
        </is>
      </c>
      <c r="S13" s="3" t="inlineStr">
        <is>
          <t>Zubní technik - specializace</t>
        </is>
      </c>
    </row>
    <row r="14">
      <c r="A14" s="3" t="inlineStr">
        <is>
          <t>POS010</t>
        </is>
      </c>
      <c r="B14" s="3" t="inlineStr">
        <is>
          <t>VED-LAB</t>
        </is>
      </c>
      <c r="C14" s="3" t="inlineStr">
        <is>
          <t>Vedoucí laboratoře</t>
        </is>
      </c>
      <c r="D14" s="3" t="inlineStr">
        <is>
          <t>Lab Manager</t>
        </is>
      </c>
      <c r="E14" s="3" t="inlineStr">
        <is>
          <t>Management</t>
        </is>
      </c>
      <c r="F14" s="3" t="inlineStr">
        <is>
          <t>KERA</t>
        </is>
      </c>
      <c r="G14" s="3" t="inlineStr">
        <is>
          <t>ANO</t>
        </is>
      </c>
      <c r="H14" s="3" t="inlineStr">
        <is>
          <t>ANO</t>
        </is>
      </c>
      <c r="I14" s="3" t="inlineStr">
        <is>
          <t>NE</t>
        </is>
      </c>
      <c r="J14" s="3" t="inlineStr">
        <is>
          <t>BONUS</t>
        </is>
      </c>
      <c r="K14" s="11" t="n">
        <v>0</v>
      </c>
      <c r="L14" s="4" t="n">
        <v>0</v>
      </c>
      <c r="M14" s="3" t="inlineStr">
        <is>
          <t>ANO</t>
        </is>
      </c>
      <c r="N14" s="4" t="n">
        <v>120</v>
      </c>
      <c r="O14" s="4" t="n">
        <v>0</v>
      </c>
      <c r="P14" s="4" t="n">
        <v>100</v>
      </c>
      <c r="Q14" s="4" t="n">
        <v>375</v>
      </c>
      <c r="R14" s="3" t="inlineStr">
        <is>
          <t>Vedoucí</t>
        </is>
      </c>
      <c r="S14" s="3" t="inlineStr">
        <is>
          <t>Vedení zubní laboratoře</t>
        </is>
      </c>
    </row>
    <row r="15">
      <c r="A15" s="3" t="inlineStr">
        <is>
          <t>POS011</t>
        </is>
      </c>
      <c r="B15" s="3" t="inlineStr">
        <is>
          <t>ROZ</t>
        </is>
      </c>
      <c r="C15" s="3" t="inlineStr">
        <is>
          <t>Rozvoz</t>
        </is>
      </c>
      <c r="D15" s="3" t="inlineStr">
        <is>
          <t>Delivery Driver</t>
        </is>
      </c>
      <c r="E15" s="3" t="inlineStr">
        <is>
          <t>Logistika</t>
        </is>
      </c>
      <c r="F15" s="3" t="inlineStr">
        <is>
          <t>KERA</t>
        </is>
      </c>
      <c r="G15" s="3" t="inlineStr">
        <is>
          <t>ANO</t>
        </is>
      </c>
      <c r="H15" s="3" t="inlineStr">
        <is>
          <t>ANO</t>
        </is>
      </c>
      <c r="I15" s="3" t="inlineStr">
        <is>
          <t>NE</t>
        </is>
      </c>
      <c r="J15" s="3" t="n"/>
      <c r="K15" s="11" t="n">
        <v>0</v>
      </c>
      <c r="L15" s="4" t="n">
        <v>0</v>
      </c>
      <c r="M15" s="3" t="n"/>
      <c r="N15" s="4" t="n">
        <v>120</v>
      </c>
      <c r="O15" s="4" t="n">
        <v>0</v>
      </c>
      <c r="P15" s="4" t="n">
        <v>50</v>
      </c>
      <c r="Q15" s="4" t="n">
        <v>0</v>
      </c>
      <c r="R15" s="3" t="inlineStr">
        <is>
          <t>Zaměstnanec</t>
        </is>
      </c>
      <c r="S15" s="3" t="inlineStr">
        <is>
          <t>Rozvoz zakázek</t>
        </is>
      </c>
    </row>
    <row r="16">
      <c r="A16" s="3" t="inlineStr">
        <is>
          <t>POS012</t>
        </is>
      </c>
      <c r="B16" s="3" t="inlineStr">
        <is>
          <t>EXT</t>
        </is>
      </c>
      <c r="C16" s="3" t="inlineStr">
        <is>
          <t>Externí spolupracovník</t>
        </is>
      </c>
      <c r="D16" s="3" t="inlineStr">
        <is>
          <t>External Contractor</t>
        </is>
      </c>
      <c r="E16" s="3" t="inlineStr">
        <is>
          <t>Externí</t>
        </is>
      </c>
      <c r="F16" s="3" t="inlineStr">
        <is>
          <t>VZC+KERA</t>
        </is>
      </c>
      <c r="G16" s="3" t="inlineStr">
        <is>
          <t>NE</t>
        </is>
      </c>
      <c r="H16" s="3" t="inlineStr">
        <is>
          <t>ANO</t>
        </is>
      </c>
      <c r="I16" s="3" t="inlineStr">
        <is>
          <t>ANO</t>
        </is>
      </c>
      <c r="J16" s="3" t="inlineStr">
        <is>
          <t>PROVIZE</t>
        </is>
      </c>
      <c r="K16" s="11" t="n">
        <v>0.1</v>
      </c>
      <c r="L16" s="4" t="n">
        <v>0</v>
      </c>
      <c r="M16" s="3" t="inlineStr">
        <is>
          <t>NE</t>
        </is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Zaměstnanec</t>
        </is>
      </c>
      <c r="S16" s="3" t="inlineStr">
        <is>
          <t>DPP / DPČ / Externí</t>
        </is>
      </c>
    </row>
    <row r="17">
      <c r="A17" s="3" t="inlineStr">
        <is>
          <t>POS013</t>
        </is>
      </c>
      <c r="B17" s="3" t="inlineStr">
        <is>
          <t>CEO</t>
        </is>
      </c>
      <c r="C17" s="3" t="inlineStr">
        <is>
          <t>Jednatel</t>
        </is>
      </c>
      <c r="D17" s="3" t="inlineStr">
        <is>
          <t>CEO</t>
        </is>
      </c>
      <c r="E17" s="3" t="inlineStr">
        <is>
          <t>Management</t>
        </is>
      </c>
      <c r="F17" s="3" t="inlineStr">
        <is>
          <t>HOLDING</t>
        </is>
      </c>
      <c r="G17" s="3" t="inlineStr">
        <is>
          <t>ANO</t>
        </is>
      </c>
      <c r="H17" s="3" t="inlineStr">
        <is>
          <t>ANO</t>
        </is>
      </c>
      <c r="I17" s="3" t="inlineStr">
        <is>
          <t>NE</t>
        </is>
      </c>
      <c r="J17" s="3" t="n"/>
      <c r="K17" s="11" t="n">
        <v>0</v>
      </c>
      <c r="L17" s="4" t="n">
        <v>0</v>
      </c>
      <c r="M17" s="3" t="n"/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CEO</t>
        </is>
      </c>
      <c r="S17" s="3" t="inlineStr">
        <is>
          <t>Jednatel společnosti</t>
        </is>
      </c>
    </row>
    <row r="18">
      <c r="A18" s="3" t="inlineStr">
        <is>
          <t>POS014</t>
        </is>
      </c>
      <c r="B18" s="3" t="inlineStr">
        <is>
          <t>PART</t>
        </is>
      </c>
      <c r="C18" s="3" t="inlineStr">
        <is>
          <t>Partner</t>
        </is>
      </c>
      <c r="D18" s="3" t="inlineStr">
        <is>
          <t>Partner</t>
        </is>
      </c>
      <c r="E18" s="3" t="inlineStr">
        <is>
          <t>Management</t>
        </is>
      </c>
      <c r="F18" s="3" t="inlineStr">
        <is>
          <t>HOLDING</t>
        </is>
      </c>
      <c r="G18" s="3" t="inlineStr">
        <is>
          <t>ANO</t>
        </is>
      </c>
      <c r="H18" s="3" t="inlineStr">
        <is>
          <t>ANO</t>
        </is>
      </c>
      <c r="I18" s="3" t="inlineStr">
        <is>
          <t>NE</t>
        </is>
      </c>
      <c r="J18" s="3" t="n"/>
      <c r="K18" s="11" t="n">
        <v>0</v>
      </c>
      <c r="L18" s="4" t="n">
        <v>0</v>
      </c>
      <c r="M18" s="3" t="n"/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Partner</t>
        </is>
      </c>
      <c r="S18" s="3" t="inlineStr">
        <is>
          <t>Společník</t>
        </is>
      </c>
    </row>
    <row r="19">
      <c r="A19" s="3" t="inlineStr">
        <is>
          <t>POS015</t>
        </is>
      </c>
      <c r="B19" s="3" t="inlineStr">
        <is>
          <t>HR</t>
        </is>
      </c>
      <c r="C19" s="3" t="inlineStr">
        <is>
          <t>HR / Mzdy</t>
        </is>
      </c>
      <c r="D19" s="3" t="inlineStr">
        <is>
          <t>HR Manager</t>
        </is>
      </c>
      <c r="E19" s="3" t="inlineStr">
        <is>
          <t>Management</t>
        </is>
      </c>
      <c r="F19" s="3" t="inlineStr">
        <is>
          <t>HOLDING</t>
        </is>
      </c>
      <c r="G19" s="3" t="inlineStr">
        <is>
          <t>ANO</t>
        </is>
      </c>
      <c r="H19" s="3" t="inlineStr">
        <is>
          <t>ANO</t>
        </is>
      </c>
      <c r="I19" s="3" t="inlineStr">
        <is>
          <t>NE</t>
        </is>
      </c>
      <c r="J19" s="3" t="n"/>
      <c r="K19" s="11" t="n">
        <v>0</v>
      </c>
      <c r="L19" s="4" t="n">
        <v>0</v>
      </c>
      <c r="M19" s="3" t="n"/>
      <c r="N19" s="4" t="n">
        <v>120</v>
      </c>
      <c r="O19" s="4" t="n">
        <v>485</v>
      </c>
      <c r="P19" s="4" t="n">
        <v>100</v>
      </c>
      <c r="Q19" s="4" t="n">
        <v>375</v>
      </c>
      <c r="R19" s="3" t="inlineStr">
        <is>
          <t>HR</t>
        </is>
      </c>
      <c r="S19" s="3" t="inlineStr">
        <is>
          <t>Lidské zdroje a mzdy</t>
        </is>
      </c>
    </row>
    <row r="20">
      <c r="A20" s="7" t="inlineStr">
        <is>
          <t>POS016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16" t="n">
        <v>0</v>
      </c>
      <c r="L20" s="17" t="n">
        <v>0</v>
      </c>
      <c r="M20" s="7" t="n"/>
      <c r="N20" s="17" t="n">
        <v>0</v>
      </c>
      <c r="O20" s="17" t="n">
        <v>0</v>
      </c>
      <c r="P20" s="17" t="n">
        <v>0</v>
      </c>
      <c r="Q20" s="17" t="n">
        <v>0</v>
      </c>
      <c r="R20" s="7" t="n"/>
      <c r="S20" s="7" t="n"/>
    </row>
    <row r="21">
      <c r="A21" s="7" t="inlineStr">
        <is>
          <t>POS017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16" t="n">
        <v>0</v>
      </c>
      <c r="L21" s="17" t="n">
        <v>0</v>
      </c>
      <c r="M21" s="7" t="n"/>
      <c r="N21" s="17" t="n">
        <v>0</v>
      </c>
      <c r="O21" s="17" t="n">
        <v>0</v>
      </c>
      <c r="P21" s="17" t="n">
        <v>0</v>
      </c>
      <c r="Q21" s="17" t="n">
        <v>0</v>
      </c>
      <c r="R21" s="7" t="n"/>
      <c r="S21" s="7" t="n"/>
    </row>
    <row r="22">
      <c r="A22" s="7" t="inlineStr">
        <is>
          <t>POS018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16" t="n">
        <v>0</v>
      </c>
      <c r="L22" s="17" t="n">
        <v>0</v>
      </c>
      <c r="M22" s="7" t="n"/>
      <c r="N22" s="17" t="n">
        <v>0</v>
      </c>
      <c r="O22" s="17" t="n">
        <v>0</v>
      </c>
      <c r="P22" s="17" t="n">
        <v>0</v>
      </c>
      <c r="Q22" s="17" t="n">
        <v>0</v>
      </c>
      <c r="R22" s="7" t="n"/>
      <c r="S22" s="7" t="n"/>
    </row>
    <row r="23">
      <c r="A23" s="7" t="inlineStr">
        <is>
          <t>POS019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16" t="n">
        <v>0</v>
      </c>
      <c r="L23" s="17" t="n">
        <v>0</v>
      </c>
      <c r="M23" s="7" t="n"/>
      <c r="N23" s="17" t="n">
        <v>0</v>
      </c>
      <c r="O23" s="17" t="n">
        <v>0</v>
      </c>
      <c r="P23" s="17" t="n">
        <v>0</v>
      </c>
      <c r="Q23" s="17" t="n">
        <v>0</v>
      </c>
      <c r="R23" s="7" t="n"/>
      <c r="S23" s="7" t="n"/>
    </row>
    <row r="24">
      <c r="A24" s="7" t="inlineStr">
        <is>
          <t>POS020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16" t="n">
        <v>0</v>
      </c>
      <c r="L24" s="17" t="n">
        <v>0</v>
      </c>
      <c r="M24" s="7" t="n"/>
      <c r="N24" s="17" t="n">
        <v>0</v>
      </c>
      <c r="O24" s="17" t="n">
        <v>0</v>
      </c>
      <c r="P24" s="17" t="n">
        <v>0</v>
      </c>
      <c r="Q24" s="17" t="n">
        <v>0</v>
      </c>
      <c r="R24" s="7" t="n"/>
      <c r="S24" s="7" t="n"/>
    </row>
  </sheetData>
  <mergeCells count="6">
    <mergeCell ref="J3:M3"/>
    <mergeCell ref="N3:Q3"/>
    <mergeCell ref="R3:S3"/>
    <mergeCell ref="A1:R1"/>
    <mergeCell ref="G3:I3"/>
    <mergeCell ref="A3:F3"/>
  </mergeCells>
  <dataValidations count="5">
    <dataValidation sqref="J5:J24" showDropDown="0" showInputMessage="0" showErrorMessage="0" allowBlank="1" type="list">
      <formula1>"Z OBRATU,PROVIZE,BONUS,"</formula1>
    </dataValidation>
    <dataValidation sqref="G5:I24 M5:M24" showDropDown="0" showInputMessage="0" showErrorMessage="0" allowBlank="1" type="list">
      <formula1>"ANO,NE"</formula1>
    </dataValidation>
    <dataValidation sqref="R5:R24" showDropDown="0" showInputMessage="0" showErrorMessage="0" allowBlank="1" type="list">
      <formula1>"CEO,Partner,Vedoucí,HR,Zaměstnanec"</formula1>
    </dataValidation>
    <dataValidation sqref="F5:F24" showDropDown="0" showInputMessage="0" showErrorMessage="0" allowBlank="1" type="list">
      <formula1>"VZC,KERA,VZC+KERA,HOLDING,LOGPACK"</formula1>
    </dataValidation>
    <dataValidation sqref="E5:E24" showDropDown="0" showInputMessage="0" showErrorMessage="0" allowBlank="1" type="list">
      <formula1>"Zdravotnictví,Administrativa,Management,Výroba,Logistika,Externí"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18" customWidth="1" style="20" min="2" max="2"/>
    <col width="8" customWidth="1" style="20" min="3" max="3"/>
    <col width="10" customWidth="1" style="20" min="4" max="4"/>
    <col width="8" customWidth="1" style="20" min="5" max="5"/>
    <col width="10" customWidth="1" style="20" min="6" max="6"/>
    <col width="12" customWidth="1" style="20" min="7" max="7"/>
    <col width="10" customWidth="1" style="20" min="8" max="8"/>
    <col width="12" customWidth="1" style="20" min="9" max="9"/>
    <col width="8" customWidth="1" style="20" min="10" max="10"/>
    <col width="10" customWidth="1" style="20" min="11" max="11"/>
    <col width="8" customWidth="1" style="20" min="15" max="15"/>
    <col width="10" customWidth="1" style="20" min="16" max="16"/>
    <col width="18" customWidth="1" style="20" min="21" max="21"/>
    <col width="14.42578125" customWidth="1" style="20" min="24" max="24"/>
  </cols>
  <sheetData>
    <row r="1" ht="18.75" customHeight="1" s="20">
      <c r="A1" s="31" t="inlineStr">
        <is>
          <t>KERA-DENS - MZDY ÚNOR 2026</t>
        </is>
      </c>
    </row>
    <row r="2" ht="33.75" customHeight="1" s="20">
      <c r="A2" s="1" t="inlineStr">
        <is>
          <t>🟧 Oranžová = CEO_ONLY (rodina)</t>
        </is>
      </c>
      <c r="U2" s="32" t="inlineStr">
        <is>
          <t>Vyplň jen tam, kde se osobko počítá z obratu.</t>
        </is>
      </c>
    </row>
    <row r="3" ht="30" customHeight="1" s="20">
      <c r="A3" s="33" t="inlineStr">
        <is>
          <t>Jméno</t>
        </is>
      </c>
      <c r="B3" s="33" t="inlineStr">
        <is>
          <t>Pozice</t>
        </is>
      </c>
      <c r="C3" s="33" t="inlineStr">
        <is>
          <t>Prac.dnů</t>
        </is>
      </c>
      <c r="D3" s="33" t="inlineStr">
        <is>
          <t>Odpracováno</t>
        </is>
      </c>
      <c r="E3" s="33" t="inlineStr">
        <is>
          <t>Přesčasy</t>
        </is>
      </c>
      <c r="F3" s="33" t="inlineStr">
        <is>
          <t>Dovolená</t>
        </is>
      </c>
      <c r="G3" s="33" t="inlineStr">
        <is>
          <t>Termín dov.</t>
        </is>
      </c>
      <c r="H3" s="33" t="inlineStr">
        <is>
          <t>Nemoc</t>
        </is>
      </c>
      <c r="I3" s="33" t="inlineStr">
        <is>
          <t>Termín nem.</t>
        </is>
      </c>
      <c r="J3" s="33" t="inlineStr">
        <is>
          <t>OČR</t>
        </is>
      </c>
      <c r="K3" s="33" t="inlineStr">
        <is>
          <t>Termín OČR</t>
        </is>
      </c>
      <c r="L3" s="33" t="inlineStr">
        <is>
          <t>Základ</t>
        </is>
      </c>
      <c r="M3" s="33" t="inlineStr">
        <is>
          <t>Os.ohod.</t>
        </is>
      </c>
      <c r="N3" s="33" t="inlineStr">
        <is>
          <t>DPP</t>
        </is>
      </c>
      <c r="O3" s="33" t="inlineStr">
        <is>
          <t>§10</t>
        </is>
      </c>
      <c r="P3" s="33" t="inlineStr">
        <is>
          <t>Kafeterie</t>
        </is>
      </c>
      <c r="Q3" s="33" t="inlineStr">
        <is>
          <t>Parkovné</t>
        </is>
      </c>
      <c r="R3" s="33" t="inlineStr">
        <is>
          <t>Obědy</t>
        </is>
      </c>
      <c r="S3" s="33" t="inlineStr">
        <is>
          <t>Srážka</t>
        </is>
      </c>
      <c r="T3" s="33" t="inlineStr">
        <is>
          <t>CEO_ONLY</t>
        </is>
      </c>
      <c r="U3" s="33" t="inlineStr">
        <is>
          <t>Obrat pro osobko</t>
        </is>
      </c>
    </row>
    <row r="4">
      <c r="A4" s="3" t="inlineStr">
        <is>
          <t>Aron Andrea</t>
        </is>
      </c>
      <c r="B4" s="3" t="inlineStr">
        <is>
          <t>Technik</t>
        </is>
      </c>
      <c r="C4" s="3" t="n">
        <v>20</v>
      </c>
      <c r="D4" s="3" t="inlineStr">
        <is>
          <t>MD</t>
        </is>
      </c>
      <c r="E4" s="3" t="n"/>
      <c r="F4" s="3" t="n"/>
      <c r="G4" s="3" t="n"/>
      <c r="H4" s="3" t="n"/>
      <c r="I4" s="3" t="n"/>
      <c r="J4" s="3" t="n"/>
      <c r="K4" s="3" t="n"/>
      <c r="L4" s="4" t="n"/>
      <c r="M4" s="4" t="n"/>
      <c r="N4" s="4" t="n">
        <v>11990</v>
      </c>
      <c r="O4" s="4" t="n"/>
      <c r="P4" s="4" t="n"/>
      <c r="Q4" s="4" t="n"/>
      <c r="R4" s="4" t="n"/>
      <c r="S4" s="4" t="n"/>
      <c r="T4" s="3" t="n"/>
      <c r="U4" s="4" t="n"/>
    </row>
    <row r="5">
      <c r="A5" s="5" t="inlineStr">
        <is>
          <t>Čáka Jan</t>
        </is>
      </c>
      <c r="B5" s="5" t="inlineStr">
        <is>
          <t>ADM</t>
        </is>
      </c>
      <c r="C5" s="5" t="n">
        <v>20</v>
      </c>
      <c r="D5" s="5" t="n"/>
      <c r="E5" s="5" t="n"/>
      <c r="F5" s="5" t="n"/>
      <c r="G5" s="5" t="n"/>
      <c r="H5" s="5" t="n"/>
      <c r="I5" s="5" t="n"/>
      <c r="J5" s="5" t="n"/>
      <c r="K5" s="5" t="n"/>
      <c r="L5" s="6" t="n"/>
      <c r="M5" s="6" t="n"/>
      <c r="N5" s="6" t="n">
        <v>11990</v>
      </c>
      <c r="O5" s="6" t="n"/>
      <c r="P5" s="6" t="n"/>
      <c r="Q5" s="6" t="n"/>
      <c r="R5" s="6" t="n"/>
      <c r="S5" s="6" t="n"/>
      <c r="T5" s="5" t="inlineStr">
        <is>
          <t>ANO</t>
        </is>
      </c>
      <c r="U5" s="6" t="n"/>
    </row>
    <row r="6">
      <c r="A6" s="5" t="inlineStr">
        <is>
          <t>Čáka Josef</t>
        </is>
      </c>
      <c r="B6" s="5" t="inlineStr">
        <is>
          <t>ADM</t>
        </is>
      </c>
      <c r="C6" s="5" t="n">
        <v>20</v>
      </c>
      <c r="D6" s="5" t="n"/>
      <c r="E6" s="5" t="n"/>
      <c r="F6" s="5" t="n"/>
      <c r="G6" s="5" t="n"/>
      <c r="H6" s="5" t="n"/>
      <c r="I6" s="5" t="n"/>
      <c r="J6" s="5" t="n"/>
      <c r="K6" s="5" t="n"/>
      <c r="L6" s="6" t="n"/>
      <c r="M6" s="6" t="n"/>
      <c r="N6" s="6" t="n">
        <v>11990</v>
      </c>
      <c r="O6" s="6" t="n"/>
      <c r="P6" s="6" t="n"/>
      <c r="Q6" s="6" t="n"/>
      <c r="R6" s="6" t="n"/>
      <c r="S6" s="6" t="n"/>
      <c r="T6" s="5" t="inlineStr">
        <is>
          <t>ANO</t>
        </is>
      </c>
      <c r="U6" s="6" t="n"/>
    </row>
    <row r="7">
      <c r="A7" s="5" t="inlineStr">
        <is>
          <t>Čáková Miluše</t>
        </is>
      </c>
      <c r="B7" s="5" t="inlineStr">
        <is>
          <t>ADM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6" t="n"/>
      <c r="M7" s="6" t="n"/>
      <c r="N7" s="6" t="n">
        <v>11990</v>
      </c>
      <c r="O7" s="6" t="n"/>
      <c r="P7" s="6" t="n"/>
      <c r="Q7" s="6" t="n"/>
      <c r="R7" s="6" t="n"/>
      <c r="S7" s="6" t="n"/>
      <c r="T7" s="5" t="inlineStr">
        <is>
          <t>ANO</t>
        </is>
      </c>
      <c r="U7" s="6" t="n"/>
    </row>
    <row r="8">
      <c r="A8" s="5" t="inlineStr">
        <is>
          <t>Čáková Veronika</t>
        </is>
      </c>
      <c r="B8" s="5" t="inlineStr">
        <is>
          <t>ADM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 t="n"/>
      <c r="M8" s="6" t="n"/>
      <c r="N8" s="6" t="n">
        <v>11990</v>
      </c>
      <c r="O8" s="6" t="n"/>
      <c r="P8" s="6" t="n"/>
      <c r="Q8" s="6" t="n"/>
      <c r="R8" s="6" t="n"/>
      <c r="S8" s="6" t="n"/>
      <c r="T8" s="5" t="inlineStr">
        <is>
          <t>ANO</t>
        </is>
      </c>
      <c r="U8" s="6" t="n"/>
    </row>
    <row r="9">
      <c r="A9" s="3" t="inlineStr">
        <is>
          <t>Drncová Aneta</t>
        </is>
      </c>
      <c r="B9" s="3" t="inlineStr">
        <is>
          <t>rozvoz</t>
        </is>
      </c>
      <c r="C9" s="3" t="n">
        <v>20</v>
      </c>
      <c r="D9" s="3" t="inlineStr">
        <is>
          <t>MD</t>
        </is>
      </c>
      <c r="E9" s="3" t="n"/>
      <c r="F9" s="3" t="n"/>
      <c r="G9" s="3" t="n"/>
      <c r="H9" s="3" t="n"/>
      <c r="I9" s="3" t="n"/>
      <c r="J9" s="3" t="n"/>
      <c r="K9" s="3" t="n"/>
      <c r="L9" s="4" t="n">
        <v>25000</v>
      </c>
      <c r="M9" s="4" t="n">
        <v>5000</v>
      </c>
      <c r="N9" s="4" t="n">
        <v>5000</v>
      </c>
      <c r="O9" s="4" t="n"/>
      <c r="P9" s="4" t="n"/>
      <c r="Q9" s="4" t="n"/>
      <c r="R9" s="4" t="n"/>
      <c r="S9" s="4" t="n"/>
      <c r="T9" s="3" t="n"/>
      <c r="U9" s="4" t="n"/>
    </row>
    <row r="10">
      <c r="A10" s="3" t="inlineStr">
        <is>
          <t>Horová Zdeňka</t>
        </is>
      </c>
      <c r="B10" s="3" t="inlineStr">
        <is>
          <t>Technik</t>
        </is>
      </c>
      <c r="C10" s="3" t="n">
        <v>20</v>
      </c>
      <c r="D10" s="3" t="n">
        <v>19</v>
      </c>
      <c r="E10" s="3" t="n"/>
      <c r="F10" s="3" t="n"/>
      <c r="G10" s="3" t="n"/>
      <c r="H10" s="3" t="n">
        <v>8</v>
      </c>
      <c r="I10" s="3" t="inlineStr">
        <is>
          <t>POHŘEB 25.2.</t>
        </is>
      </c>
      <c r="J10" s="3" t="n"/>
      <c r="K10" s="3" t="n"/>
      <c r="L10" s="4" t="n">
        <v>24100</v>
      </c>
      <c r="M10" s="4" t="n"/>
      <c r="N10" s="4" t="n">
        <v>11990</v>
      </c>
      <c r="O10" s="4" t="n"/>
      <c r="P10" s="4" t="n">
        <v>100</v>
      </c>
      <c r="Q10" s="4" t="n"/>
      <c r="R10" s="4" t="n">
        <v>1406</v>
      </c>
      <c r="S10" s="4" t="n"/>
      <c r="T10" s="3" t="n"/>
      <c r="U10" s="4" t="n"/>
    </row>
    <row r="11">
      <c r="A11" s="3" t="inlineStr">
        <is>
          <t>Kadlecová Renata</t>
        </is>
      </c>
      <c r="B11" s="3" t="inlineStr">
        <is>
          <t>Technik</t>
        </is>
      </c>
      <c r="C11" s="3" t="n">
        <v>20</v>
      </c>
      <c r="D11" s="3" t="n">
        <v>18</v>
      </c>
      <c r="E11" s="3" t="n"/>
      <c r="F11" s="3" t="n">
        <v>16</v>
      </c>
      <c r="G11" s="3" t="inlineStr">
        <is>
          <t>13.-16.2.</t>
        </is>
      </c>
      <c r="H11" s="3" t="n"/>
      <c r="I11" s="3" t="n"/>
      <c r="J11" s="3" t="n"/>
      <c r="K11" s="3" t="n"/>
      <c r="L11" s="4" t="n">
        <v>24100</v>
      </c>
      <c r="M11" s="34">
        <f>IF(U11="","",MAX(0,(U11-72000)*25%))</f>
        <v/>
      </c>
      <c r="N11" s="4" t="n"/>
      <c r="O11" s="4" t="n"/>
      <c r="P11" s="4" t="n">
        <v>50</v>
      </c>
      <c r="Q11" s="4" t="n"/>
      <c r="R11" s="4" t="n">
        <v>1940</v>
      </c>
      <c r="S11" s="4" t="n"/>
      <c r="T11" s="3" t="n"/>
      <c r="U11" s="35" t="n"/>
    </row>
    <row r="12">
      <c r="A12" s="3" t="inlineStr">
        <is>
          <t>Limberková Šárka</t>
        </is>
      </c>
      <c r="B12" s="3" t="inlineStr">
        <is>
          <t>Technik</t>
        </is>
      </c>
      <c r="C12" s="3" t="n">
        <v>20</v>
      </c>
      <c r="D12" s="3" t="n">
        <v>19</v>
      </c>
      <c r="E12" s="3" t="n"/>
      <c r="F12" s="3" t="n">
        <v>8</v>
      </c>
      <c r="G12" s="3" t="inlineStr">
        <is>
          <t>04.02.</t>
        </is>
      </c>
      <c r="H12" s="3" t="n"/>
      <c r="I12" s="3" t="n"/>
      <c r="J12" s="3" t="n"/>
      <c r="K12" s="3" t="n"/>
      <c r="L12" s="4" t="n">
        <v>28000</v>
      </c>
      <c r="M12" s="34">
        <f>IF(U12="","",MAX(0,(U12-74000)*25%))</f>
        <v/>
      </c>
      <c r="N12" s="4" t="n">
        <v>3000</v>
      </c>
      <c r="O12" s="4" t="n"/>
      <c r="P12" s="4" t="n">
        <v>100</v>
      </c>
      <c r="Q12" s="4" t="n"/>
      <c r="R12" s="4" t="n">
        <v>1886</v>
      </c>
      <c r="S12" s="4" t="n"/>
      <c r="T12" s="3" t="n"/>
      <c r="U12" s="35" t="n"/>
    </row>
    <row r="13">
      <c r="A13" s="3" t="inlineStr">
        <is>
          <t>Maraske Jan</t>
        </is>
      </c>
      <c r="B13" s="3" t="inlineStr">
        <is>
          <t>Technik</t>
        </is>
      </c>
      <c r="C13" s="3" t="n">
        <v>20</v>
      </c>
      <c r="D13" s="3" t="n">
        <v>20</v>
      </c>
      <c r="E13" s="3" t="n"/>
      <c r="F13" s="3" t="n"/>
      <c r="G13" s="3" t="n"/>
      <c r="H13" s="3" t="n"/>
      <c r="I13" s="3" t="n"/>
      <c r="J13" s="3" t="n"/>
      <c r="K13" s="3" t="n"/>
      <c r="L13" s="4" t="n">
        <v>30000</v>
      </c>
      <c r="M13" s="4" t="n"/>
      <c r="N13" s="4" t="n"/>
      <c r="O13" s="4" t="n"/>
      <c r="P13" s="4" t="n">
        <v>100</v>
      </c>
      <c r="Q13" s="4" t="n"/>
      <c r="R13" s="4" t="n"/>
      <c r="S13" s="4" t="n"/>
      <c r="T13" s="3" t="n"/>
      <c r="U13" s="4" t="n"/>
    </row>
    <row r="14">
      <c r="A14" s="3" t="inlineStr">
        <is>
          <t>Plachký Jan</t>
        </is>
      </c>
      <c r="B14" s="3" t="inlineStr">
        <is>
          <t>Vedoucí laboratoře</t>
        </is>
      </c>
      <c r="C14" s="3" t="n">
        <v>20</v>
      </c>
      <c r="D14" s="3" t="n">
        <v>19</v>
      </c>
      <c r="E14" s="3" t="n"/>
      <c r="F14" s="3" t="n"/>
      <c r="G14" s="3" t="n"/>
      <c r="H14" s="3" t="n">
        <v>8</v>
      </c>
      <c r="I14" s="3" t="inlineStr">
        <is>
          <t>Lékař - doprovod 6.2.2026</t>
        </is>
      </c>
      <c r="J14" s="3" t="n"/>
      <c r="K14" s="3" t="n"/>
      <c r="L14" s="4" t="n">
        <v>30000</v>
      </c>
      <c r="M14" s="4" t="n">
        <v>15000</v>
      </c>
      <c r="N14" s="4" t="n">
        <v>5000</v>
      </c>
      <c r="O14" s="4" t="n"/>
      <c r="P14" s="4" t="n"/>
      <c r="Q14" s="4" t="n">
        <v>375</v>
      </c>
      <c r="R14" s="4" t="n"/>
      <c r="S14" s="4" t="n"/>
      <c r="T14" s="3" t="n"/>
      <c r="U14" s="4" t="n"/>
    </row>
    <row r="15">
      <c r="A15" s="5" t="inlineStr">
        <is>
          <t>Poláková Eva</t>
        </is>
      </c>
      <c r="B15" s="5" t="inlineStr">
        <is>
          <t>ADM</t>
        </is>
      </c>
      <c r="C15" s="5" t="n">
        <v>20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6" t="n"/>
      <c r="M15" s="6" t="n"/>
      <c r="N15" s="6" t="n">
        <v>11990</v>
      </c>
      <c r="O15" s="6" t="n"/>
      <c r="P15" s="6" t="n"/>
      <c r="Q15" s="6" t="n"/>
      <c r="R15" s="6" t="n"/>
      <c r="S15" s="6" t="n"/>
      <c r="T15" s="5" t="inlineStr">
        <is>
          <t>ANO</t>
        </is>
      </c>
      <c r="U15" s="6" t="n"/>
    </row>
    <row r="16">
      <c r="A16" s="3" t="inlineStr">
        <is>
          <t>Řeháková Miroslava</t>
        </is>
      </c>
      <c r="B16" s="3" t="inlineStr">
        <is>
          <t>ADM</t>
        </is>
      </c>
      <c r="C16" s="3" t="n">
        <v>20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  <c r="M16" s="4" t="n"/>
      <c r="N16" s="4" t="n">
        <v>11990</v>
      </c>
      <c r="O16" s="4" t="n"/>
      <c r="P16" s="4" t="n"/>
      <c r="Q16" s="4" t="n"/>
      <c r="R16" s="4" t="n"/>
      <c r="S16" s="4" t="n"/>
      <c r="T16" s="3" t="n"/>
      <c r="U16" s="4" t="n"/>
    </row>
    <row r="17">
      <c r="A17" s="3" t="inlineStr">
        <is>
          <t>Vodvářková Karla</t>
        </is>
      </c>
      <c r="B17" s="3" t="inlineStr">
        <is>
          <t>Technik</t>
        </is>
      </c>
      <c r="C17" s="3" t="n">
        <v>20</v>
      </c>
      <c r="D17" s="3" t="n">
        <v>19</v>
      </c>
      <c r="E17" s="3" t="n"/>
      <c r="F17" s="3" t="n">
        <v>8</v>
      </c>
      <c r="G17" s="3" t="inlineStr">
        <is>
          <t>26.2.</t>
        </is>
      </c>
      <c r="H17" s="3" t="n"/>
      <c r="I17" s="3" t="n"/>
      <c r="J17" s="3" t="n"/>
      <c r="K17" s="3" t="n"/>
      <c r="L17" s="4" t="n">
        <v>35000</v>
      </c>
      <c r="M17" s="34">
        <f>IF(U17="","",MAX(0,(U17-92000)*25%))</f>
        <v/>
      </c>
      <c r="N17" s="4" t="n"/>
      <c r="O17" s="4" t="n"/>
      <c r="P17" s="4" t="n">
        <v>100</v>
      </c>
      <c r="Q17" s="4" t="n">
        <v>375</v>
      </c>
      <c r="R17" s="4" t="n">
        <v>2266</v>
      </c>
      <c r="S17" s="4" t="n"/>
      <c r="T17" s="3" t="n"/>
      <c r="U17" s="35" t="n"/>
    </row>
    <row r="18">
      <c r="A18" s="5" t="inlineStr">
        <is>
          <t>Vyšata Filip</t>
        </is>
      </c>
      <c r="B18" s="5" t="inlineStr">
        <is>
          <t>ADM</t>
        </is>
      </c>
      <c r="C18" s="5" t="n">
        <v>20</v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6" t="n"/>
      <c r="M18" s="6" t="n"/>
      <c r="N18" s="6" t="n">
        <v>11990</v>
      </c>
      <c r="O18" s="6" t="n"/>
      <c r="P18" s="6" t="n"/>
      <c r="Q18" s="6" t="n"/>
      <c r="R18" s="6" t="n"/>
      <c r="S18" s="6" t="n"/>
      <c r="T18" s="5" t="inlineStr">
        <is>
          <t>ANO</t>
        </is>
      </c>
      <c r="U18" s="6" t="n"/>
    </row>
    <row r="19">
      <c r="A19" s="5" t="inlineStr">
        <is>
          <t>Vyšatová Petra</t>
        </is>
      </c>
      <c r="B19" s="5" t="inlineStr">
        <is>
          <t>ADM</t>
        </is>
      </c>
      <c r="C19" s="5" t="n">
        <v>20</v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6" t="n"/>
      <c r="M19" s="6" t="n"/>
      <c r="N19" s="6" t="n">
        <v>11990</v>
      </c>
      <c r="O19" s="6" t="n"/>
      <c r="P19" s="6" t="n"/>
      <c r="Q19" s="6" t="n"/>
      <c r="R19" s="6" t="n"/>
      <c r="S19" s="6" t="n"/>
      <c r="T19" s="5" t="inlineStr">
        <is>
          <t>ANO</t>
        </is>
      </c>
      <c r="U19" s="6" t="n"/>
    </row>
    <row r="20">
      <c r="A20" s="5" t="inlineStr">
        <is>
          <t>Vyšatová Viktorie</t>
        </is>
      </c>
      <c r="B20" s="5" t="inlineStr">
        <is>
          <t>ADM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 t="n"/>
      <c r="M20" s="6" t="n"/>
      <c r="N20" s="6" t="n">
        <v>11990</v>
      </c>
      <c r="O20" s="6" t="n"/>
      <c r="P20" s="6" t="n"/>
      <c r="Q20" s="6" t="n"/>
      <c r="R20" s="6" t="n"/>
      <c r="S20" s="6" t="n"/>
      <c r="T20" s="5" t="inlineStr">
        <is>
          <t>ANO</t>
        </is>
      </c>
      <c r="U20" s="6" t="n"/>
    </row>
    <row r="21">
      <c r="A21" s="3" t="inlineStr">
        <is>
          <t>Žigová Barbora</t>
        </is>
      </c>
      <c r="B21" s="3" t="inlineStr">
        <is>
          <t>EXT</t>
        </is>
      </c>
      <c r="C21" s="3" t="n">
        <v>20</v>
      </c>
      <c r="D21" s="3" t="n">
        <v>19</v>
      </c>
      <c r="E21" s="3" t="n"/>
      <c r="F21" s="3" t="n">
        <v>8</v>
      </c>
      <c r="G21" s="3" t="inlineStr">
        <is>
          <t>20.2.</t>
        </is>
      </c>
      <c r="H21" s="3" t="n"/>
      <c r="I21" s="3" t="n"/>
      <c r="J21" s="3" t="n"/>
      <c r="K21" s="3" t="n"/>
      <c r="L21" s="4" t="n">
        <v>30000</v>
      </c>
      <c r="M21" s="4" t="n">
        <v>7000</v>
      </c>
      <c r="N21" s="4" t="n">
        <v>11990</v>
      </c>
      <c r="O21" s="4" t="n"/>
      <c r="P21" s="4" t="n">
        <v>50</v>
      </c>
      <c r="Q21" s="4" t="n">
        <v>500</v>
      </c>
      <c r="R21" s="4" t="n"/>
      <c r="S21" s="4" t="n"/>
      <c r="T21" s="3" t="n"/>
      <c r="U21" s="4" t="n"/>
    </row>
    <row r="22" s="20">
      <c r="A22" s="3" t="inlineStr">
        <is>
          <t>Surmová Marcela</t>
        </is>
      </c>
      <c r="B22" s="3" t="inlineStr">
        <is>
          <t>rozvoz</t>
        </is>
      </c>
      <c r="C22" s="3" t="n">
        <v>20</v>
      </c>
      <c r="D22" s="3" t="n">
        <v>16</v>
      </c>
      <c r="E22" s="3" t="n"/>
      <c r="F22" s="3" t="n"/>
      <c r="G22" s="3" t="n"/>
      <c r="H22" s="3" t="n">
        <v>32</v>
      </c>
      <c r="I22" s="3" t="inlineStr">
        <is>
          <t>18.-20.2.=PN, 25.2.= lékař</t>
        </is>
      </c>
      <c r="J22" s="3" t="n"/>
      <c r="K22" s="3" t="n"/>
      <c r="L22" s="4" t="n">
        <v>25000</v>
      </c>
      <c r="M22" s="4" t="n"/>
      <c r="N22" s="4" t="n">
        <v>5000</v>
      </c>
      <c r="O22" s="4" t="n"/>
      <c r="P22" s="4" t="n">
        <v>100</v>
      </c>
      <c r="Q22" s="4" t="n">
        <v>375</v>
      </c>
      <c r="R22" s="4" t="n"/>
      <c r="S22" s="4" t="n"/>
      <c r="T22" s="3" t="n"/>
      <c r="U22" s="4" t="n"/>
    </row>
    <row r="23" s="20">
      <c r="A23" s="3" t="inlineStr">
        <is>
          <t>Rost Jakub</t>
        </is>
      </c>
      <c r="B23" s="3" t="inlineStr">
        <is>
          <t>EXT</t>
        </is>
      </c>
      <c r="C23" s="3" t="n">
        <v>20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  <c r="M23" s="4" t="n"/>
      <c r="N23" s="4" t="n"/>
      <c r="O23" s="4" t="n"/>
      <c r="P23" s="4" t="n"/>
      <c r="Q23" s="4" t="n"/>
      <c r="R23" s="4" t="n"/>
      <c r="S23" s="4" t="n"/>
      <c r="T23" s="3" t="n"/>
      <c r="U23" s="4" t="n"/>
    </row>
  </sheetData>
  <mergeCells count="1">
    <mergeCell ref="A1:U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Kontrola importu docházky</t>
        </is>
      </c>
    </row>
    <row r="3">
      <c r="A3" t="inlineStr">
        <is>
          <t>Položka</t>
        </is>
      </c>
      <c r="B3" t="inlineStr">
        <is>
          <t>Hodnota</t>
        </is>
      </c>
    </row>
    <row r="4">
      <c r="A4" t="inlineStr">
        <is>
          <t>Zdrojových řádků</t>
        </is>
      </c>
      <c r="B4" t="n">
        <v>17</v>
      </c>
    </row>
    <row r="5">
      <c r="A5" t="inlineStr">
        <is>
          <t>Doplněno / spárováno</t>
        </is>
      </c>
      <c r="B5" t="n">
        <v>17</v>
      </c>
    </row>
    <row r="7">
      <c r="A7" t="inlineStr">
        <is>
          <t>Nejednoznačná nebo ručně spárovaná jména</t>
        </is>
      </c>
    </row>
    <row r="8">
      <c r="A8" t="inlineStr">
        <is>
          <t>Zdroj</t>
        </is>
      </c>
      <c r="B8" t="inlineStr">
        <is>
          <t>Cíl v mzdovém souboru</t>
        </is>
      </c>
      <c r="C8" t="inlineStr">
        <is>
          <t>Typ párování</t>
        </is>
      </c>
    </row>
    <row r="9">
      <c r="A9" t="inlineStr">
        <is>
          <t>Miloslava Řeháková</t>
        </is>
      </c>
      <c r="B9" t="inlineStr">
        <is>
          <t>Řeháková Miroslava</t>
        </is>
      </c>
      <c r="C9" t="inlineStr">
        <is>
          <t>manual_alias</t>
        </is>
      </c>
    </row>
    <row r="12">
      <c r="A12" s="36" t="inlineStr">
        <is>
          <t>Pravidla osobního ohodnocení (doplněno)</t>
        </is>
      </c>
    </row>
    <row r="13">
      <c r="A13" s="36" t="inlineStr">
        <is>
          <t>Jméno</t>
        </is>
      </c>
      <c r="B13" s="36" t="inlineStr">
        <is>
          <t>Pravidlo</t>
        </is>
      </c>
      <c r="C13" s="36" t="inlineStr">
        <is>
          <t>Poznámka</t>
        </is>
      </c>
    </row>
    <row r="14">
      <c r="A14" t="inlineStr">
        <is>
          <t>Limberková Šárka</t>
        </is>
      </c>
      <c r="B14" t="inlineStr">
        <is>
          <t>25 % z obratu nad 74 000 Kč</t>
        </is>
      </c>
      <c r="C14" t="inlineStr">
        <is>
          <t>Os.ohod. v hlavním listu ponecháno prázdné do doplnění obratu.</t>
        </is>
      </c>
    </row>
    <row r="15">
      <c r="A15" t="inlineStr">
        <is>
          <t>Vodvářková Karla</t>
        </is>
      </c>
      <c r="B15" t="inlineStr">
        <is>
          <t>25 % z obratu nad 92 000 Kč</t>
        </is>
      </c>
      <c r="C15" t="inlineStr">
        <is>
          <t>Os.ohod. v hlavním listu ponecháno prázdné do doplnění obratu.</t>
        </is>
      </c>
    </row>
    <row r="16">
      <c r="A16" t="inlineStr">
        <is>
          <t>Kadlecová Renata</t>
        </is>
      </c>
      <c r="B16" t="inlineStr">
        <is>
          <t>25 % z obratu nad 72 000 Kč</t>
        </is>
      </c>
      <c r="C16" t="inlineStr">
        <is>
          <t>Os.ohod. v hlavním listu ponecháno prázdné do doplnění obratu.</t>
        </is>
      </c>
    </row>
    <row r="18">
      <c r="A18" s="36" t="inlineStr">
        <is>
          <t>Nově přidán vstup pro obrat</t>
        </is>
      </c>
    </row>
    <row r="19">
      <c r="A19" s="36" t="inlineStr">
        <is>
          <t>Sloupec</t>
        </is>
      </c>
      <c r="B19" s="36" t="inlineStr">
        <is>
          <t>Použití</t>
        </is>
      </c>
      <c r="C19" s="36" t="inlineStr">
        <is>
          <t>Týká se</t>
        </is>
      </c>
    </row>
    <row r="20">
      <c r="A20" t="inlineStr">
        <is>
          <t>U = Obrat pro osobko</t>
        </is>
      </c>
      <c r="B20" t="inlineStr">
        <is>
          <t>Po vyplnění se Os.ohod. spočítá automaticky</t>
        </is>
      </c>
      <c r="C20" t="inlineStr">
        <is>
          <t>Kadlecová, Limberková, Vodvářková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2026-02-03T17:04:24Z</dcterms:created>
  <dcterms:modified xmlns:dcterms="http://purl.org/dc/terms/" xmlns:xsi="http://www.w3.org/2001/XMLSchema-instance" xsi:type="dcterms:W3CDTF">2026-03-10T09:18:30Z</dcterms:modified>
  <cp:lastModifiedBy>Jan Čáka VZC</cp:lastModifiedBy>
</cp:coreProperties>
</file>